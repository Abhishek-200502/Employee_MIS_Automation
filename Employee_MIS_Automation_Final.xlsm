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D:\software E\"/>
    </mc:Choice>
  </mc:AlternateContent>
  <xr:revisionPtr revIDLastSave="0" documentId="13_ncr:1_{9CAE6383-0DBF-4DC4-937B-F26067662164}" xr6:coauthVersionLast="36" xr6:coauthVersionMax="36" xr10:uidLastSave="{00000000-0000-0000-0000-000000000000}"/>
  <bookViews>
    <workbookView xWindow="0" yWindow="0" windowWidth="20490" windowHeight="7005" firstSheet="1" activeTab="5" xr2:uid="{C398D134-7CD0-4528-9FB9-2A9C41C7A18F}"/>
  </bookViews>
  <sheets>
    <sheet name="Sheet10" sheetId="10" r:id="rId1"/>
    <sheet name="Sheet4" sheetId="4" r:id="rId2"/>
    <sheet name="Sheet6" sheetId="6" r:id="rId3"/>
    <sheet name="Sheet7" sheetId="7" r:id="rId4"/>
    <sheet name="Sheet8" sheetId="8" r:id="rId5"/>
    <sheet name="MIS dashboard" sheetId="9" r:id="rId6"/>
    <sheet name="Sheet3" sheetId="3" r:id="rId7"/>
    <sheet name="Sheet1" sheetId="1" r:id="rId8"/>
    <sheet name="Sheet2" sheetId="2" r:id="rId9"/>
  </sheets>
  <definedNames>
    <definedName name="ExternalData_1" localSheetId="6" hidden="1">Sheet3!$A$1:$I$47</definedName>
    <definedName name="Slicer_Department">#N/A</definedName>
    <definedName name="Slicer_Employment_Type">#N/A</definedName>
    <definedName name="Slicer_Joining_Month">#N/A</definedName>
  </definedNames>
  <calcPr calcId="191029"/>
  <pivotCaches>
    <pivotCache cacheId="54"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9" l="1"/>
  <c r="C3" i="9"/>
  <c r="E3" i="9"/>
  <c r="G3" i="9"/>
  <c r="B11" i="2" l="1"/>
  <c r="B10" i="2"/>
  <c r="B9" i="2"/>
  <c r="B8" i="2"/>
  <c r="B7" i="2"/>
  <c r="B6" i="2"/>
  <c r="B3" i="2"/>
  <c r="B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4A08DF-F0BE-4F4B-A57E-37633F8B0EBA}" keepAlive="1" name="Query - Empdata" description="Connection to the 'Empdata' query in the workbook." type="5" refreshedVersion="6" background="1" saveData="1">
    <dbPr connection="Provider=Microsoft.Mashup.OleDb.1;Data Source=$Workbook$;Location=Empdata;Extended Properties=&quot;&quot;" command="SELECT * FROM [Empdata]"/>
  </connection>
</connections>
</file>

<file path=xl/sharedStrings.xml><?xml version="1.0" encoding="utf-8"?>
<sst xmlns="http://schemas.openxmlformats.org/spreadsheetml/2006/main" count="685" uniqueCount="168">
  <si>
    <t>Employee ID</t>
  </si>
  <si>
    <t>First Name</t>
  </si>
  <si>
    <t>Last Name</t>
  </si>
  <si>
    <t>Gender</t>
  </si>
  <si>
    <t>Department</t>
  </si>
  <si>
    <t>Employment Type</t>
  </si>
  <si>
    <t>Joining Date</t>
  </si>
  <si>
    <t>Salary</t>
  </si>
  <si>
    <t>E001</t>
  </si>
  <si>
    <t>Rahul</t>
  </si>
  <si>
    <t>Kumar</t>
  </si>
  <si>
    <t>Male</t>
  </si>
  <si>
    <t>HR</t>
  </si>
  <si>
    <t>Permanent</t>
  </si>
  <si>
    <t>E002</t>
  </si>
  <si>
    <t>Priya</t>
  </si>
  <si>
    <t>Sharma</t>
  </si>
  <si>
    <t>Female</t>
  </si>
  <si>
    <t>IT</t>
  </si>
  <si>
    <t>E003</t>
  </si>
  <si>
    <t>Amit</t>
  </si>
  <si>
    <t>Singh</t>
  </si>
  <si>
    <t>Finance</t>
  </si>
  <si>
    <t>Temporary</t>
  </si>
  <si>
    <t>E004</t>
  </si>
  <si>
    <t>Neha</t>
  </si>
  <si>
    <t>Verma</t>
  </si>
  <si>
    <t>Fixed Term</t>
  </si>
  <si>
    <t>E005</t>
  </si>
  <si>
    <t>Rohit</t>
  </si>
  <si>
    <t>Gupta</t>
  </si>
  <si>
    <t>Sales</t>
  </si>
  <si>
    <t>E006</t>
  </si>
  <si>
    <t>Anjali</t>
  </si>
  <si>
    <t>Mehta</t>
  </si>
  <si>
    <t>E007</t>
  </si>
  <si>
    <t>Vikas</t>
  </si>
  <si>
    <t>Yadav</t>
  </si>
  <si>
    <t>E008</t>
  </si>
  <si>
    <t>Pooja</t>
  </si>
  <si>
    <t>Jain</t>
  </si>
  <si>
    <t>E009</t>
  </si>
  <si>
    <t>Arjun</t>
  </si>
  <si>
    <t>Malhotra</t>
  </si>
  <si>
    <t>E010</t>
  </si>
  <si>
    <t>Simran</t>
  </si>
  <si>
    <t>Kaur</t>
  </si>
  <si>
    <t>E011</t>
  </si>
  <si>
    <t>Karan</t>
  </si>
  <si>
    <t>E012</t>
  </si>
  <si>
    <t>Riya</t>
  </si>
  <si>
    <t>E013</t>
  </si>
  <si>
    <t>Manish</t>
  </si>
  <si>
    <t>E014</t>
  </si>
  <si>
    <t>Komal</t>
  </si>
  <si>
    <t>Agarwal</t>
  </si>
  <si>
    <t>E015</t>
  </si>
  <si>
    <t>Suresh</t>
  </si>
  <si>
    <t>E016</t>
  </si>
  <si>
    <t>Nisha</t>
  </si>
  <si>
    <t>E017</t>
  </si>
  <si>
    <t>Deepak</t>
  </si>
  <si>
    <t>Rana</t>
  </si>
  <si>
    <t>E018</t>
  </si>
  <si>
    <t>Shweta</t>
  </si>
  <si>
    <t>Roy</t>
  </si>
  <si>
    <t>E019</t>
  </si>
  <si>
    <t>Varun</t>
  </si>
  <si>
    <t>Bansal</t>
  </si>
  <si>
    <t>E020</t>
  </si>
  <si>
    <t>Divya</t>
  </si>
  <si>
    <t>Shah</t>
  </si>
  <si>
    <t>E021</t>
  </si>
  <si>
    <t>Raj</t>
  </si>
  <si>
    <t>Chauhan</t>
  </si>
  <si>
    <t>E022</t>
  </si>
  <si>
    <t>Sonia</t>
  </si>
  <si>
    <t>Patel</t>
  </si>
  <si>
    <t>E023</t>
  </si>
  <si>
    <t>Mohit</t>
  </si>
  <si>
    <t>E024</t>
  </si>
  <si>
    <t>Kavita</t>
  </si>
  <si>
    <t>Sethi</t>
  </si>
  <si>
    <t>E025</t>
  </si>
  <si>
    <t>Akash</t>
  </si>
  <si>
    <t>Joshi</t>
  </si>
  <si>
    <t>E026</t>
  </si>
  <si>
    <t>Tanya</t>
  </si>
  <si>
    <t>Bhatia</t>
  </si>
  <si>
    <t>E027</t>
  </si>
  <si>
    <t>Nitin</t>
  </si>
  <si>
    <t>Rawat</t>
  </si>
  <si>
    <t>E028</t>
  </si>
  <si>
    <t>Meena</t>
  </si>
  <si>
    <t>Das</t>
  </si>
  <si>
    <t>E029</t>
  </si>
  <si>
    <t>Abhishek</t>
  </si>
  <si>
    <t>E030</t>
  </si>
  <si>
    <t>Pallavi</t>
  </si>
  <si>
    <t>Total Employee Headcount</t>
  </si>
  <si>
    <t>Permanent Employee Headcount</t>
  </si>
  <si>
    <t>Department-wise Headcount</t>
  </si>
  <si>
    <t>Female Employee Ratio</t>
  </si>
  <si>
    <t>Median Salary</t>
  </si>
  <si>
    <t>Emp Headcount</t>
  </si>
  <si>
    <t>Permanent Emp</t>
  </si>
  <si>
    <t>Department Headcount</t>
  </si>
  <si>
    <t>Female emp ratio</t>
  </si>
  <si>
    <t>Median salary</t>
  </si>
  <si>
    <t>Joining Month</t>
  </si>
  <si>
    <t>March</t>
  </si>
  <si>
    <t>April</t>
  </si>
  <si>
    <t>January</t>
  </si>
  <si>
    <t>February</t>
  </si>
  <si>
    <t>June</t>
  </si>
  <si>
    <t>July</t>
  </si>
  <si>
    <t>August</t>
  </si>
  <si>
    <t>September</t>
  </si>
  <si>
    <t>October</t>
  </si>
  <si>
    <t>May</t>
  </si>
  <si>
    <t>December</t>
  </si>
  <si>
    <t>November</t>
  </si>
  <si>
    <t>E031</t>
  </si>
  <si>
    <t>Rohan</t>
  </si>
  <si>
    <t>E032</t>
  </si>
  <si>
    <t>Sneha</t>
  </si>
  <si>
    <t>Kapoor</t>
  </si>
  <si>
    <t>E033</t>
  </si>
  <si>
    <t>E034</t>
  </si>
  <si>
    <t>Aarti</t>
  </si>
  <si>
    <t>E035</t>
  </si>
  <si>
    <t>Mohan</t>
  </si>
  <si>
    <t>permanent</t>
  </si>
  <si>
    <t xml:space="preserve"> Permanent</t>
  </si>
  <si>
    <t>PERMANENT</t>
  </si>
  <si>
    <t>PermAnent</t>
  </si>
  <si>
    <t xml:space="preserve">Permanent  </t>
  </si>
  <si>
    <t>Row Labels</t>
  </si>
  <si>
    <t>Grand Total</t>
  </si>
  <si>
    <t>Count of Employee ID</t>
  </si>
  <si>
    <t>Column Labels</t>
  </si>
  <si>
    <t>Average of Salary</t>
  </si>
  <si>
    <t>Total Employees</t>
  </si>
  <si>
    <t>Permanent Employees</t>
  </si>
  <si>
    <t>Female Ratio</t>
  </si>
  <si>
    <t>Average Salary</t>
  </si>
  <si>
    <t>Employee MIS Dashboard</t>
  </si>
  <si>
    <t>E036</t>
  </si>
  <si>
    <t>E037</t>
  </si>
  <si>
    <t>Rajput</t>
  </si>
  <si>
    <t>Ragini</t>
  </si>
  <si>
    <t>Viraj</t>
  </si>
  <si>
    <t>Chandel</t>
  </si>
  <si>
    <t>E038</t>
  </si>
  <si>
    <t>Operations</t>
  </si>
  <si>
    <t>E041</t>
  </si>
  <si>
    <t>Ritik</t>
  </si>
  <si>
    <t>Shukla</t>
  </si>
  <si>
    <t>Make</t>
  </si>
  <si>
    <t>E042</t>
  </si>
  <si>
    <t>E043</t>
  </si>
  <si>
    <t>E044</t>
  </si>
  <si>
    <t>E045</t>
  </si>
  <si>
    <t>E039</t>
  </si>
  <si>
    <t>E040</t>
  </si>
  <si>
    <t>Anum</t>
  </si>
  <si>
    <t>Irfan</t>
  </si>
  <si>
    <t>E046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</si>
</sst>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
  </numFmts>
  <fonts count="7" x14ac:knownFonts="1">
    <font>
      <sz val="11"/>
      <color theme="1"/>
      <name val="Calibri"/>
      <family val="2"/>
      <scheme val="minor"/>
    </font>
    <font>
      <b/>
      <sz val="11"/>
      <color theme="1"/>
      <name val="Calibri"/>
      <family val="2"/>
      <scheme val="minor"/>
    </font>
    <font>
      <sz val="11"/>
      <color theme="1"/>
      <name val="Calibri"/>
      <family val="2"/>
      <scheme val="minor"/>
    </font>
    <font>
      <b/>
      <sz val="16"/>
      <color theme="1"/>
      <name val="Calibri"/>
      <family val="2"/>
      <scheme val="minor"/>
    </font>
    <font>
      <b/>
      <sz val="18"/>
      <color theme="1"/>
      <name val="Calibri"/>
      <family val="2"/>
      <scheme val="minor"/>
    </font>
    <font>
      <b/>
      <sz val="24"/>
      <color theme="1"/>
      <name val="Calibri"/>
      <family val="2"/>
      <scheme val="minor"/>
    </font>
    <font>
      <b/>
      <sz val="16"/>
      <color rgb="FF000000"/>
      <name val="Calibri"/>
      <family val="2"/>
    </font>
  </fonts>
  <fills count="6">
    <fill>
      <patternFill patternType="none"/>
    </fill>
    <fill>
      <patternFill patternType="gray125"/>
    </fill>
    <fill>
      <patternFill patternType="solid">
        <fgColor theme="5"/>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8"/>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s>
  <cellStyleXfs count="2">
    <xf numFmtId="0" fontId="0" fillId="0" borderId="0"/>
    <xf numFmtId="9" fontId="2" fillId="0" borderId="0" applyFont="0" applyFill="0" applyBorder="0" applyAlignment="0" applyProtection="0"/>
  </cellStyleXfs>
  <cellXfs count="27">
    <xf numFmtId="0" fontId="0" fillId="0" borderId="0" xfId="0"/>
    <xf numFmtId="15" fontId="0" fillId="0" borderId="0" xfId="0" applyNumberFormat="1"/>
    <xf numFmtId="0" fontId="1" fillId="0" borderId="0" xfId="0" applyFont="1"/>
    <xf numFmtId="0" fontId="1" fillId="2" borderId="0" xfId="0" applyFont="1" applyFill="1"/>
    <xf numFmtId="0" fontId="1" fillId="2" borderId="0" xfId="0" applyFont="1" applyFill="1" applyAlignment="1">
      <alignment wrapText="1"/>
    </xf>
    <xf numFmtId="9" fontId="0" fillId="0" borderId="0" xfId="0" applyNumberFormat="1"/>
    <xf numFmtId="14" fontId="0" fillId="0" borderId="0" xfId="0" applyNumberFormat="1"/>
    <xf numFmtId="0" fontId="0" fillId="0" borderId="0" xfId="0" applyAlignment="1">
      <alignment horizontal="right" vertical="center" wrapText="1"/>
    </xf>
    <xf numFmtId="0" fontId="0" fillId="0" borderId="0" xfId="0" applyAlignment="1">
      <alignment vertical="center" wrapText="1"/>
    </xf>
    <xf numFmtId="15" fontId="0" fillId="0" borderId="0" xfId="0" applyNumberFormat="1" applyAlignment="1">
      <alignment vertical="center" wrapText="1"/>
    </xf>
    <xf numFmtId="0" fontId="0" fillId="0" borderId="0" xfId="0" pivotButton="1"/>
    <xf numFmtId="0" fontId="0" fillId="0" borderId="0" xfId="0" applyAlignment="1">
      <alignment horizontal="left"/>
    </xf>
    <xf numFmtId="0" fontId="0" fillId="0" borderId="0" xfId="0" applyNumberFormat="1"/>
    <xf numFmtId="0" fontId="0" fillId="0" borderId="1" xfId="0" applyBorder="1" applyAlignment="1">
      <alignment horizontal="left"/>
    </xf>
    <xf numFmtId="0" fontId="0" fillId="0" borderId="1" xfId="0" applyNumberFormat="1" applyBorder="1"/>
    <xf numFmtId="0" fontId="1" fillId="0" borderId="1" xfId="0" pivotButton="1" applyFont="1" applyBorder="1"/>
    <xf numFmtId="0" fontId="1" fillId="0" borderId="1" xfId="0" applyFont="1" applyBorder="1"/>
    <xf numFmtId="0" fontId="0" fillId="3" borderId="1" xfId="0" applyFill="1" applyBorder="1" applyAlignment="1">
      <alignment horizontal="left"/>
    </xf>
    <xf numFmtId="164" fontId="0" fillId="0" borderId="0" xfId="0" applyNumberFormat="1"/>
    <xf numFmtId="0" fontId="0" fillId="0" borderId="2" xfId="0" applyNumberFormat="1" applyBorder="1"/>
    <xf numFmtId="14" fontId="0" fillId="0" borderId="0" xfId="0" applyNumberFormat="1" applyAlignment="1">
      <alignment vertical="center" wrapText="1"/>
    </xf>
    <xf numFmtId="164" fontId="0" fillId="0" borderId="0" xfId="0" applyNumberFormat="1" applyAlignment="1">
      <alignment horizontal="right" vertical="center" wrapText="1"/>
    </xf>
    <xf numFmtId="0" fontId="5" fillId="5" borderId="0" xfId="0" applyFont="1" applyFill="1" applyAlignment="1">
      <alignment horizontal="center"/>
    </xf>
    <xf numFmtId="0" fontId="4" fillId="4" borderId="0" xfId="0" applyFont="1" applyFill="1" applyBorder="1" applyAlignment="1">
      <alignment horizontal="center"/>
    </xf>
    <xf numFmtId="0" fontId="3" fillId="4" borderId="3" xfId="0" applyFont="1" applyFill="1" applyBorder="1" applyAlignment="1">
      <alignment horizontal="center"/>
    </xf>
    <xf numFmtId="10" fontId="3" fillId="4" borderId="3" xfId="1" applyNumberFormat="1" applyFont="1" applyFill="1" applyBorder="1" applyAlignment="1">
      <alignment horizontal="center"/>
    </xf>
    <xf numFmtId="164" fontId="3" fillId="4" borderId="3" xfId="0" applyNumberFormat="1" applyFont="1" applyFill="1" applyBorder="1" applyAlignment="1">
      <alignment horizontal="center"/>
    </xf>
  </cellXfs>
  <cellStyles count="2">
    <cellStyle name="Normal" xfId="0" builtinId="0"/>
    <cellStyle name="Percent" xfId="1" builtinId="5"/>
  </cellStyles>
  <dxfs count="21">
    <dxf>
      <numFmt numFmtId="164" formatCode="&quot;₹&quot;\ #,##0"/>
    </dxf>
    <dxf>
      <numFmt numFmtId="19" formatCode="dd/mm/yyyy"/>
    </dxf>
    <dxf>
      <numFmt numFmtId="20" formatCode="dd/mmm/yy"/>
    </dxf>
    <dxf>
      <numFmt numFmtId="164" formatCode="&quot;₹&quot;\ #,##0"/>
    </dxf>
    <dxf>
      <numFmt numFmtId="164" formatCode="&quot;₹&quot;\ #,##0"/>
    </dxf>
    <dxf>
      <numFmt numFmtId="1" formatCode="0"/>
    </dxf>
    <dxf>
      <border>
        <left style="medium">
          <color indexed="64"/>
        </left>
        <right style="medium">
          <color indexed="64"/>
        </right>
        <top style="medium">
          <color indexed="64"/>
        </top>
        <bottom style="medium">
          <color indexed="64"/>
        </bottom>
      </border>
    </dxf>
    <dxf>
      <fill>
        <patternFill patternType="solid">
          <bgColor theme="5" tint="-0.249977111117893"/>
        </patternFill>
      </fill>
    </dxf>
    <dxf>
      <font>
        <b val="0"/>
      </font>
    </dxf>
    <dxf>
      <font>
        <sz val="11"/>
      </font>
    </dxf>
    <dxf>
      <font>
        <sz val="11"/>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74A6F8"/>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[Employee_MIS_Automation_Final.xlsm]Sheet4!PivotTable1</c:name>
    <c:fmtId val="1"/>
  </c:pivotSource>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US" sz="1200" b="1">
                <a:solidFill>
                  <a:schemeClr val="tx1"/>
                </a:solidFill>
              </a:rPr>
              <a:t>Department Headcount</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835761909071709E-2"/>
          <c:y val="0.18433343009628875"/>
          <c:w val="0.86601864422119645"/>
          <c:h val="0.66101137060964332"/>
        </c:manualLayout>
      </c:layout>
      <c:barChart>
        <c:barDir val="col"/>
        <c:grouping val="clustered"/>
        <c:varyColors val="0"/>
        <c:ser>
          <c:idx val="0"/>
          <c:order val="0"/>
          <c:tx>
            <c:strRef>
              <c:f>Sheet4!$B$3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Sheet4!$A$4:$A$9</c:f>
              <c:strCache>
                <c:ptCount val="5"/>
                <c:pt idx="0">
                  <c:v>Finance</c:v>
                </c:pt>
                <c:pt idx="1">
                  <c:v>HR</c:v>
                </c:pt>
                <c:pt idx="2">
                  <c:v>IT</c:v>
                </c:pt>
                <c:pt idx="3">
                  <c:v>Sales</c:v>
                </c:pt>
                <c:pt idx="4">
                  <c:v>Operations</c:v>
                </c:pt>
              </c:strCache>
            </c:strRef>
          </c:cat>
          <c:val>
            <c:numRef>
              <c:f>Sheet4!$B$4:$B$9</c:f>
              <c:numCache>
                <c:formatCode>General</c:formatCode>
                <c:ptCount val="5"/>
                <c:pt idx="0">
                  <c:v>9</c:v>
                </c:pt>
                <c:pt idx="1">
                  <c:v>11</c:v>
                </c:pt>
                <c:pt idx="2">
                  <c:v>12</c:v>
                </c:pt>
                <c:pt idx="3">
                  <c:v>9</c:v>
                </c:pt>
                <c:pt idx="4">
                  <c:v>5</c:v>
                </c:pt>
              </c:numCache>
            </c:numRef>
          </c:val>
          <c:extLst>
            <c:ext xmlns:c16="http://schemas.microsoft.com/office/drawing/2014/chart" uri="{C3380CC4-5D6E-409C-BE32-E72D297353CC}">
              <c16:uniqueId val="{00000000-ACFA-4DD0-AE8D-F6FF2D188220}"/>
            </c:ext>
          </c:extLst>
        </c:ser>
        <c:dLbls>
          <c:showLegendKey val="0"/>
          <c:showVal val="0"/>
          <c:showCatName val="0"/>
          <c:showSerName val="0"/>
          <c:showPercent val="0"/>
          <c:showBubbleSize val="0"/>
        </c:dLbls>
        <c:gapWidth val="219"/>
        <c:overlap val="-27"/>
        <c:axId val="1808621040"/>
        <c:axId val="1230588608"/>
      </c:barChart>
      <c:catAx>
        <c:axId val="1808621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230588608"/>
        <c:crosses val="autoZero"/>
        <c:auto val="0"/>
        <c:lblAlgn val="ctr"/>
        <c:lblOffset val="100"/>
        <c:noMultiLvlLbl val="0"/>
      </c:catAx>
      <c:valAx>
        <c:axId val="1230588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808621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a:glow rad="63500">
        <a:schemeClr val="accent5">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[Employee_MIS_Automation_Final.xlsm]Sheet10!PivotTable9</c:name>
    <c:fmtId val="1"/>
  </c:pivotSource>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US" sz="1200" b="1">
                <a:solidFill>
                  <a:schemeClr val="tx1"/>
                </a:solidFill>
              </a:rPr>
              <a:t>Employees</a:t>
            </a:r>
            <a:r>
              <a:rPr lang="en-US" sz="1200" b="1" baseline="0">
                <a:solidFill>
                  <a:schemeClr val="tx1"/>
                </a:solidFill>
              </a:rPr>
              <a:t> by Employement type</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972450738111253E-2"/>
          <c:y val="0.2014857117797112"/>
          <c:w val="0.86398740913745531"/>
          <c:h val="0.65776720979184533"/>
        </c:manualLayout>
      </c:layout>
      <c:barChart>
        <c:barDir val="col"/>
        <c:grouping val="stacked"/>
        <c:varyColors val="0"/>
        <c:ser>
          <c:idx val="0"/>
          <c:order val="0"/>
          <c:tx>
            <c:strRef>
              <c:f>Sheet10!$B$3:$B$4</c:f>
              <c:strCache>
                <c:ptCount val="1"/>
                <c:pt idx="0">
                  <c:v>Fixed Term</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Sheet10!$A$5:$A$10</c:f>
              <c:strCache>
                <c:ptCount val="5"/>
                <c:pt idx="0">
                  <c:v>Finance</c:v>
                </c:pt>
                <c:pt idx="1">
                  <c:v>HR</c:v>
                </c:pt>
                <c:pt idx="2">
                  <c:v>IT</c:v>
                </c:pt>
                <c:pt idx="3">
                  <c:v>Sales</c:v>
                </c:pt>
                <c:pt idx="4">
                  <c:v>Operations</c:v>
                </c:pt>
              </c:strCache>
            </c:strRef>
          </c:cat>
          <c:val>
            <c:numRef>
              <c:f>Sheet10!$B$5:$B$10</c:f>
              <c:numCache>
                <c:formatCode>General</c:formatCode>
                <c:ptCount val="5"/>
                <c:pt idx="0">
                  <c:v>2</c:v>
                </c:pt>
                <c:pt idx="1">
                  <c:v>2</c:v>
                </c:pt>
                <c:pt idx="2">
                  <c:v>2</c:v>
                </c:pt>
                <c:pt idx="3">
                  <c:v>1</c:v>
                </c:pt>
                <c:pt idx="4">
                  <c:v>1</c:v>
                </c:pt>
              </c:numCache>
            </c:numRef>
          </c:val>
          <c:extLst>
            <c:ext xmlns:c16="http://schemas.microsoft.com/office/drawing/2014/chart" uri="{C3380CC4-5D6E-409C-BE32-E72D297353CC}">
              <c16:uniqueId val="{00000000-6731-45CF-8393-C722AD19D66E}"/>
            </c:ext>
          </c:extLst>
        </c:ser>
        <c:ser>
          <c:idx val="1"/>
          <c:order val="1"/>
          <c:tx>
            <c:strRef>
              <c:f>Sheet10!$C$3:$C$4</c:f>
              <c:strCache>
                <c:ptCount val="1"/>
                <c:pt idx="0">
                  <c:v>Permanent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Sheet10!$A$5:$A$10</c:f>
              <c:strCache>
                <c:ptCount val="5"/>
                <c:pt idx="0">
                  <c:v>Finance</c:v>
                </c:pt>
                <c:pt idx="1">
                  <c:v>HR</c:v>
                </c:pt>
                <c:pt idx="2">
                  <c:v>IT</c:v>
                </c:pt>
                <c:pt idx="3">
                  <c:v>Sales</c:v>
                </c:pt>
                <c:pt idx="4">
                  <c:v>Operations</c:v>
                </c:pt>
              </c:strCache>
            </c:strRef>
          </c:cat>
          <c:val>
            <c:numRef>
              <c:f>Sheet10!$C$5:$C$10</c:f>
              <c:numCache>
                <c:formatCode>General</c:formatCode>
                <c:ptCount val="5"/>
                <c:pt idx="0">
                  <c:v>5</c:v>
                </c:pt>
                <c:pt idx="1">
                  <c:v>8</c:v>
                </c:pt>
                <c:pt idx="2">
                  <c:v>7</c:v>
                </c:pt>
                <c:pt idx="3">
                  <c:v>4</c:v>
                </c:pt>
                <c:pt idx="4">
                  <c:v>3</c:v>
                </c:pt>
              </c:numCache>
            </c:numRef>
          </c:val>
          <c:extLst>
            <c:ext xmlns:c16="http://schemas.microsoft.com/office/drawing/2014/chart" uri="{C3380CC4-5D6E-409C-BE32-E72D297353CC}">
              <c16:uniqueId val="{00000001-C52F-42EE-81C3-36D9FA166F30}"/>
            </c:ext>
          </c:extLst>
        </c:ser>
        <c:ser>
          <c:idx val="2"/>
          <c:order val="2"/>
          <c:tx>
            <c:strRef>
              <c:f>Sheet10!$D$3:$D$4</c:f>
              <c:strCache>
                <c:ptCount val="1"/>
                <c:pt idx="0">
                  <c:v>Temporary</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Sheet10!$A$5:$A$10</c:f>
              <c:strCache>
                <c:ptCount val="5"/>
                <c:pt idx="0">
                  <c:v>Finance</c:v>
                </c:pt>
                <c:pt idx="1">
                  <c:v>HR</c:v>
                </c:pt>
                <c:pt idx="2">
                  <c:v>IT</c:v>
                </c:pt>
                <c:pt idx="3">
                  <c:v>Sales</c:v>
                </c:pt>
                <c:pt idx="4">
                  <c:v>Operations</c:v>
                </c:pt>
              </c:strCache>
            </c:strRef>
          </c:cat>
          <c:val>
            <c:numRef>
              <c:f>Sheet10!$D$5:$D$10</c:f>
              <c:numCache>
                <c:formatCode>General</c:formatCode>
                <c:ptCount val="5"/>
                <c:pt idx="0">
                  <c:v>2</c:v>
                </c:pt>
                <c:pt idx="1">
                  <c:v>1</c:v>
                </c:pt>
                <c:pt idx="2">
                  <c:v>3</c:v>
                </c:pt>
                <c:pt idx="3">
                  <c:v>4</c:v>
                </c:pt>
                <c:pt idx="4">
                  <c:v>1</c:v>
                </c:pt>
              </c:numCache>
            </c:numRef>
          </c:val>
          <c:extLst>
            <c:ext xmlns:c16="http://schemas.microsoft.com/office/drawing/2014/chart" uri="{C3380CC4-5D6E-409C-BE32-E72D297353CC}">
              <c16:uniqueId val="{00000003-C52F-42EE-81C3-36D9FA166F30}"/>
            </c:ext>
          </c:extLst>
        </c:ser>
        <c:dLbls>
          <c:showLegendKey val="0"/>
          <c:showVal val="0"/>
          <c:showCatName val="0"/>
          <c:showSerName val="0"/>
          <c:showPercent val="0"/>
          <c:showBubbleSize val="0"/>
        </c:dLbls>
        <c:gapWidth val="219"/>
        <c:overlap val="100"/>
        <c:axId val="1813582128"/>
        <c:axId val="2040259776"/>
      </c:barChart>
      <c:catAx>
        <c:axId val="181358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40259776"/>
        <c:crosses val="autoZero"/>
        <c:auto val="1"/>
        <c:lblAlgn val="ctr"/>
        <c:lblOffset val="100"/>
        <c:noMultiLvlLbl val="0"/>
      </c:catAx>
      <c:valAx>
        <c:axId val="2040259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813582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thickThin"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rad="63500">
        <a:schemeClr val="accent5">
          <a:satMod val="175000"/>
          <a:alpha val="40000"/>
        </a:schemeClr>
      </a:glow>
      <a:outerShdw blurRad="50800" dist="38100" dir="2700000" algn="tl" rotWithShape="0">
        <a:prstClr val="black">
          <a:alpha val="45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[Employee_MIS_Automation_Final.xlsm]Sheet8!PivotTable7</c:name>
    <c:fmtId val="2"/>
  </c:pivotSource>
  <c:chart>
    <c:title>
      <c:tx>
        <c:rich>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r>
              <a:rPr lang="en-US" sz="2000" b="1">
                <a:solidFill>
                  <a:schemeClr val="tx1"/>
                </a:solidFill>
              </a:rPr>
              <a:t>Monthly new Joiners</a:t>
            </a:r>
          </a:p>
        </c:rich>
      </c:tx>
      <c:overlay val="0"/>
      <c:spPr>
        <a:noFill/>
        <a:ln>
          <a:noFill/>
        </a:ln>
        <a:effectLst/>
      </c:spPr>
      <c:txPr>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title>
    <c:autoTitleDeleted val="0"/>
    <c:pivotFmts>
      <c:pivotFmt>
        <c:idx val="0"/>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manualLayout>
          <c:layoutTarget val="inner"/>
          <c:xMode val="edge"/>
          <c:yMode val="edge"/>
          <c:x val="3.4232031235913944E-2"/>
          <c:y val="0.21827773752793392"/>
          <c:w val="0.94645904716038354"/>
          <c:h val="0.58523980256146746"/>
        </c:manualLayout>
      </c:layout>
      <c:lineChart>
        <c:grouping val="standard"/>
        <c:varyColors val="0"/>
        <c:ser>
          <c:idx val="0"/>
          <c:order val="0"/>
          <c:tx>
            <c:strRef>
              <c:f>Sheet8!$B$3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Sheet8!$A$4:$A$16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Sheet8!$B$4:$B$16</c:f>
              <c:numCache>
                <c:formatCode>General</c:formatCode>
                <c:ptCount val="12"/>
                <c:pt idx="0">
                  <c:v>5</c:v>
                </c:pt>
                <c:pt idx="1">
                  <c:v>2</c:v>
                </c:pt>
                <c:pt idx="2">
                  <c:v>15</c:v>
                </c:pt>
                <c:pt idx="3">
                  <c:v>1</c:v>
                </c:pt>
                <c:pt idx="4">
                  <c:v>2</c:v>
                </c:pt>
                <c:pt idx="5">
                  <c:v>2</c:v>
                </c:pt>
                <c:pt idx="6">
                  <c:v>4</c:v>
                </c:pt>
                <c:pt idx="7">
                  <c:v>1</c:v>
                </c:pt>
                <c:pt idx="8">
                  <c:v>9</c:v>
                </c:pt>
                <c:pt idx="9">
                  <c:v>3</c:v>
                </c:pt>
                <c:pt idx="10">
                  <c:v>1</c:v>
                </c:pt>
                <c:pt idx="11">
                  <c:v>1</c:v>
                </c:pt>
              </c:numCache>
            </c:numRef>
          </c:val>
          <c:smooth val="0"/>
          <c:extLst>
            <c:ext xmlns:c16="http://schemas.microsoft.com/office/drawing/2014/chart" uri="{C3380CC4-5D6E-409C-BE32-E72D297353CC}">
              <c16:uniqueId val="{00000000-5A53-4CD5-98CB-57C01AA36E6E}"/>
            </c:ext>
          </c:extLst>
        </c:ser>
        <c:dLbls>
          <c:showLegendKey val="0"/>
          <c:showVal val="0"/>
          <c:showCatName val="0"/>
          <c:showSerName val="0"/>
          <c:showPercent val="0"/>
          <c:showBubbleSize val="0"/>
        </c:dLbls>
        <c:marker val="1"/>
        <c:smooth val="0"/>
        <c:axId val="1808608640"/>
        <c:axId val="2040268512"/>
      </c:lineChart>
      <c:catAx>
        <c:axId val="180860864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40268512"/>
        <c:crosses val="autoZero"/>
        <c:auto val="1"/>
        <c:lblAlgn val="ctr"/>
        <c:lblOffset val="100"/>
        <c:noMultiLvlLbl val="0"/>
      </c:catAx>
      <c:valAx>
        <c:axId val="2040268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80860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a:glow rad="63500">
        <a:schemeClr val="accent5">
          <a:satMod val="175000"/>
          <a:alpha val="40000"/>
        </a:schemeClr>
      </a:glow>
      <a:outerShdw blurRad="63500" dist="38100" dir="2700000" algn="tl" rotWithShape="0">
        <a:prstClr val="black">
          <a:alpha val="45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[Employee_MIS_Automation_Final.xlsm]Sheet7!PivotTable5</c:name>
    <c:fmtId val="1"/>
  </c:pivotSource>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US" sz="1200" b="1">
                <a:solidFill>
                  <a:schemeClr val="tx1"/>
                </a:solidFill>
              </a:rPr>
              <a:t>Average</a:t>
            </a:r>
            <a:r>
              <a:rPr lang="en-US" sz="1200" b="1" baseline="0">
                <a:solidFill>
                  <a:schemeClr val="tx1"/>
                </a:solidFill>
              </a:rPr>
              <a:t> Salary by Department</a:t>
            </a:r>
            <a:endParaRPr lang="en-US"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821255741397267E-2"/>
          <c:y val="0.17590759075907589"/>
          <c:w val="0.88768912442182235"/>
          <c:h val="0.67096852992385858"/>
        </c:manualLayout>
      </c:layout>
      <c:barChart>
        <c:barDir val="col"/>
        <c:grouping val="clustered"/>
        <c:varyColors val="0"/>
        <c:ser>
          <c:idx val="0"/>
          <c:order val="0"/>
          <c:tx>
            <c:strRef>
              <c:f>Sheet7!$B$3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Sheet7!$A$4:$A$9</c:f>
              <c:strCache>
                <c:ptCount val="5"/>
                <c:pt idx="0">
                  <c:v>Finance</c:v>
                </c:pt>
                <c:pt idx="1">
                  <c:v>HR</c:v>
                </c:pt>
                <c:pt idx="2">
                  <c:v>IT</c:v>
                </c:pt>
                <c:pt idx="3">
                  <c:v>Sales</c:v>
                </c:pt>
                <c:pt idx="4">
                  <c:v>Operations</c:v>
                </c:pt>
              </c:strCache>
            </c:strRef>
          </c:cat>
          <c:val>
            <c:numRef>
              <c:f>Sheet7!$B$4:$B$9</c:f>
              <c:numCache>
                <c:formatCode>"₹"\ #,##0</c:formatCode>
                <c:ptCount val="5"/>
                <c:pt idx="0">
                  <c:v>52666.666666666664</c:v>
                </c:pt>
                <c:pt idx="1">
                  <c:v>50818.181818181816</c:v>
                </c:pt>
                <c:pt idx="2">
                  <c:v>61916.666666666664</c:v>
                </c:pt>
                <c:pt idx="3">
                  <c:v>47555.555555555555</c:v>
                </c:pt>
                <c:pt idx="4">
                  <c:v>53300</c:v>
                </c:pt>
              </c:numCache>
            </c:numRef>
          </c:val>
          <c:extLst>
            <c:ext xmlns:c16="http://schemas.microsoft.com/office/drawing/2014/chart" uri="{C3380CC4-5D6E-409C-BE32-E72D297353CC}">
              <c16:uniqueId val="{00000000-0FBE-4049-8237-52B78E20AC37}"/>
            </c:ext>
          </c:extLst>
        </c:ser>
        <c:dLbls>
          <c:showLegendKey val="0"/>
          <c:showVal val="0"/>
          <c:showCatName val="0"/>
          <c:showSerName val="0"/>
          <c:showPercent val="0"/>
          <c:showBubbleSize val="0"/>
        </c:dLbls>
        <c:gapWidth val="219"/>
        <c:overlap val="-27"/>
        <c:axId val="2049591296"/>
        <c:axId val="2099769984"/>
      </c:barChart>
      <c:catAx>
        <c:axId val="204959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99769984"/>
        <c:crosses val="autoZero"/>
        <c:auto val="1"/>
        <c:lblAlgn val="ctr"/>
        <c:lblOffset val="100"/>
        <c:noMultiLvlLbl val="0"/>
      </c:catAx>
      <c:valAx>
        <c:axId val="20997699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49591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a:glow rad="63500">
        <a:schemeClr val="accent5">
          <a:satMod val="175000"/>
          <a:alpha val="40000"/>
        </a:schemeClr>
      </a:glow>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37721</xdr:colOff>
      <xdr:row>3</xdr:row>
      <xdr:rowOff>19170</xdr:rowOff>
    </xdr:from>
    <xdr:to>
      <xdr:col>2</xdr:col>
      <xdr:colOff>1292679</xdr:colOff>
      <xdr:row>14</xdr:row>
      <xdr:rowOff>136072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1362437</xdr:colOff>
      <xdr:row>3</xdr:row>
      <xdr:rowOff>33639</xdr:rowOff>
    </xdr:from>
    <xdr:to>
      <xdr:col>5</xdr:col>
      <xdr:colOff>723418</xdr:colOff>
      <xdr:row>14</xdr:row>
      <xdr:rowOff>120570</xdr:rowOff>
    </xdr:to>
    <xdr:graphicFrame macro="">
      <xdr:nvGraphicFramePr>
        <xdr:cNvPr id="3" name="Chart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21580</xdr:colOff>
      <xdr:row>14</xdr:row>
      <xdr:rowOff>166386</xdr:rowOff>
    </xdr:from>
    <xdr:to>
      <xdr:col>10</xdr:col>
      <xdr:colOff>12056</xdr:colOff>
      <xdr:row>27</xdr:row>
      <xdr:rowOff>108512</xdr:rowOff>
    </xdr:to>
    <xdr:graphicFrame macro="">
      <xdr:nvGraphicFramePr>
        <xdr:cNvPr id="4" name="Chart 2">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54429</xdr:colOff>
      <xdr:row>3</xdr:row>
      <xdr:rowOff>60284</xdr:rowOff>
    </xdr:from>
    <xdr:to>
      <xdr:col>10</xdr:col>
      <xdr:colOff>1</xdr:colOff>
      <xdr:row>14</xdr:row>
      <xdr:rowOff>120570</xdr:rowOff>
    </xdr:to>
    <xdr:graphicFrame macro="">
      <xdr:nvGraphicFramePr>
        <xdr:cNvPr id="5" name="Chart 1">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10</xdr:col>
          <xdr:colOff>38100</xdr:colOff>
          <xdr:row>0</xdr:row>
          <xdr:rowOff>0</xdr:rowOff>
        </xdr:from>
        <xdr:to>
          <xdr:col>13</xdr:col>
          <xdr:colOff>266700</xdr:colOff>
          <xdr:row>2</xdr:row>
          <xdr:rowOff>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cs typeface="Calibri"/>
                </a:rPr>
                <a:t>Refresh MIS</a:t>
              </a:r>
            </a:p>
          </xdr:txBody>
        </xdr:sp>
        <xdr:clientData fPrintsWithSheet="0"/>
      </xdr:twoCellAnchor>
    </mc:Choice>
    <mc:Fallback/>
  </mc:AlternateContent>
  <xdr:twoCellAnchor editAs="oneCell">
    <xdr:from>
      <xdr:col>10</xdr:col>
      <xdr:colOff>81641</xdr:colOff>
      <xdr:row>2</xdr:row>
      <xdr:rowOff>13608</xdr:rowOff>
    </xdr:from>
    <xdr:to>
      <xdr:col>13</xdr:col>
      <xdr:colOff>265252</xdr:colOff>
      <xdr:row>9</xdr:row>
      <xdr:rowOff>163287</xdr:rowOff>
    </xdr:to>
    <mc:AlternateContent xmlns:mc="http://schemas.openxmlformats.org/markup-compatibility/2006" xmlns:a14="http://schemas.microsoft.com/office/drawing/2010/main">
      <mc:Choice Requires="a14">
        <xdr:graphicFrame macro="">
          <xdr:nvGraphicFramePr>
            <xdr:cNvPr id="8" name="Department">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0994570" y="680358"/>
              <a:ext cx="2020575" cy="15648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10</xdr:col>
      <xdr:colOff>72341</xdr:colOff>
      <xdr:row>9</xdr:row>
      <xdr:rowOff>176894</xdr:rowOff>
    </xdr:from>
    <xdr:to>
      <xdr:col>13</xdr:col>
      <xdr:colOff>265253</xdr:colOff>
      <xdr:row>16</xdr:row>
      <xdr:rowOff>40822</xdr:rowOff>
    </xdr:to>
    <mc:AlternateContent xmlns:mc="http://schemas.openxmlformats.org/markup-compatibility/2006" xmlns:a14="http://schemas.microsoft.com/office/drawing/2010/main">
      <mc:Choice Requires="a14">
        <xdr:graphicFrame macro="">
          <xdr:nvGraphicFramePr>
            <xdr:cNvPr id="9" name="Employment Type">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microsoft.com/office/drawing/2010/slicer">
              <sle:slicer xmlns:sle="http://schemas.microsoft.com/office/drawing/2010/slicer" name="Employment Type"/>
            </a:graphicData>
          </a:graphic>
        </xdr:graphicFrame>
      </mc:Choice>
      <mc:Fallback xmlns="">
        <xdr:sp macro="" textlink="">
          <xdr:nvSpPr>
            <xdr:cNvPr id="0" name=""/>
            <xdr:cNvSpPr>
              <a:spLocks noTextEdit="1"/>
            </xdr:cNvSpPr>
          </xdr:nvSpPr>
          <xdr:spPr>
            <a:xfrm>
              <a:off x="10985270" y="2258787"/>
              <a:ext cx="2029876" cy="11974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10</xdr:col>
      <xdr:colOff>72340</xdr:colOff>
      <xdr:row>16</xdr:row>
      <xdr:rowOff>54429</xdr:rowOff>
    </xdr:from>
    <xdr:to>
      <xdr:col>13</xdr:col>
      <xdr:colOff>258536</xdr:colOff>
      <xdr:row>27</xdr:row>
      <xdr:rowOff>136071</xdr:rowOff>
    </xdr:to>
    <mc:AlternateContent xmlns:mc="http://schemas.openxmlformats.org/markup-compatibility/2006" xmlns:a14="http://schemas.microsoft.com/office/drawing/2010/main">
      <mc:Choice Requires="a14">
        <xdr:graphicFrame macro="">
          <xdr:nvGraphicFramePr>
            <xdr:cNvPr id="10" name="Joining Month">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microsoft.com/office/drawing/2010/slicer">
              <sle:slicer xmlns:sle="http://schemas.microsoft.com/office/drawing/2010/slicer" name="Joining Month"/>
            </a:graphicData>
          </a:graphic>
        </xdr:graphicFrame>
      </mc:Choice>
      <mc:Fallback xmlns="">
        <xdr:sp macro="" textlink="">
          <xdr:nvSpPr>
            <xdr:cNvPr id="0" name=""/>
            <xdr:cNvSpPr>
              <a:spLocks noTextEdit="1"/>
            </xdr:cNvSpPr>
          </xdr:nvSpPr>
          <xdr:spPr>
            <a:xfrm>
              <a:off x="10985269" y="3469822"/>
              <a:ext cx="2023160" cy="2177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84.869673379631" missingItemsLimit="0" createdVersion="6" refreshedVersion="6" minRefreshableVersion="3" recordCount="46" xr:uid="{71106A4F-DF4F-4724-AB3A-CC489CA13029}">
  <cacheSource type="worksheet">
    <worksheetSource name="Empdata_2"/>
  </cacheSource>
  <cacheFields count="9">
    <cacheField name="Employee ID" numFmtId="0">
      <sharedItems/>
    </cacheField>
    <cacheField name="First Name" numFmtId="0">
      <sharedItems/>
    </cacheField>
    <cacheField name="Last Name" numFmtId="0">
      <sharedItems/>
    </cacheField>
    <cacheField name="Gender" numFmtId="0">
      <sharedItems count="3">
        <s v="Male"/>
        <s v="Female"/>
        <s v="Make"/>
      </sharedItems>
    </cacheField>
    <cacheField name="Department" numFmtId="0">
      <sharedItems count="5">
        <s v="HR"/>
        <s v="IT"/>
        <s v="Finance"/>
        <s v="Sales"/>
        <s v="Operations"/>
      </sharedItems>
    </cacheField>
    <cacheField name="Employment Type" numFmtId="0">
      <sharedItems count="3">
        <s v="Permanent"/>
        <s v="Temporary"/>
        <s v="Fixed Term"/>
      </sharedItems>
    </cacheField>
    <cacheField name="Joining Date" numFmtId="14">
      <sharedItems containsSemiMixedTypes="0" containsNonDate="0" containsDate="1" containsString="0" minDate="2021-05-07T00:00:00" maxDate="2026-10-13T00:00:00"/>
    </cacheField>
    <cacheField name="Salary" numFmtId="164">
      <sharedItems containsSemiMixedTypes="0" containsString="0" containsNumber="1" containsInteger="1" minValue="25500" maxValue="80000"/>
    </cacheField>
    <cacheField name="Joining Month" numFmtId="0">
      <sharedItems count="12">
        <s v="March"/>
        <s v="April"/>
        <s v="January"/>
        <s v="February"/>
        <s v="June"/>
        <s v="July"/>
        <s v="August"/>
        <s v="September"/>
        <s v="October"/>
        <s v="May"/>
        <s v="December"/>
        <s v="November"/>
      </sharedItems>
    </cacheField>
  </cacheFields>
  <extLst>
    <ext xmlns:x14="http://schemas.microsoft.com/office/spreadsheetml/2009/9/main" uri="{725AE2AE-9491-48be-B2B4-4EB974FC3084}">
      <x14:pivotCacheDefinition pivotCacheId="9831788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s v="E001"/>
    <s v="Rahul"/>
    <s v="Kumar"/>
    <x v="0"/>
    <x v="0"/>
    <x v="0"/>
    <d v="2023-03-15T00:00:00"/>
    <n v="45000"/>
    <x v="0"/>
  </r>
  <r>
    <s v="E002"/>
    <s v="Priya"/>
    <s v="Sharma"/>
    <x v="1"/>
    <x v="1"/>
    <x v="0"/>
    <d v="2022-04-08T00:00:00"/>
    <n v="65000"/>
    <x v="1"/>
  </r>
  <r>
    <s v="E003"/>
    <s v="Amit"/>
    <s v="Singh"/>
    <x v="0"/>
    <x v="2"/>
    <x v="1"/>
    <d v="2024-03-21T00:00:00"/>
    <n v="38000"/>
    <x v="0"/>
  </r>
  <r>
    <s v="E004"/>
    <s v="Neha"/>
    <s v="Verma"/>
    <x v="1"/>
    <x v="0"/>
    <x v="2"/>
    <d v="2025-01-10T00:00:00"/>
    <n v="52000"/>
    <x v="2"/>
  </r>
  <r>
    <s v="E005"/>
    <s v="Rohit"/>
    <s v="Gupta"/>
    <x v="0"/>
    <x v="3"/>
    <x v="0"/>
    <d v="2023-02-12T00:00:00"/>
    <n v="48000"/>
    <x v="3"/>
  </r>
  <r>
    <s v="E006"/>
    <s v="Anjali"/>
    <s v="Mehta"/>
    <x v="1"/>
    <x v="1"/>
    <x v="0"/>
    <d v="2024-03-25T00:00:00"/>
    <n v="72000"/>
    <x v="0"/>
  </r>
  <r>
    <s v="E007"/>
    <s v="Vikas"/>
    <s v="Yadav"/>
    <x v="0"/>
    <x v="2"/>
    <x v="0"/>
    <d v="2021-06-18T00:00:00"/>
    <n v="58000"/>
    <x v="4"/>
  </r>
  <r>
    <s v="E008"/>
    <s v="Pooja"/>
    <s v="Jain"/>
    <x v="1"/>
    <x v="3"/>
    <x v="1"/>
    <d v="2025-03-05T00:00:00"/>
    <n v="41000"/>
    <x v="0"/>
  </r>
  <r>
    <s v="E009"/>
    <s v="Arjun"/>
    <s v="Malhotra"/>
    <x v="0"/>
    <x v="1"/>
    <x v="2"/>
    <d v="2023-07-11T00:00:00"/>
    <n v="60000"/>
    <x v="5"/>
  </r>
  <r>
    <s v="E010"/>
    <s v="Simran"/>
    <s v="Kaur"/>
    <x v="1"/>
    <x v="0"/>
    <x v="0"/>
    <d v="2022-08-22T00:00:00"/>
    <n v="55000"/>
    <x v="6"/>
  </r>
  <r>
    <s v="E011"/>
    <s v="Karan"/>
    <s v="Sharma"/>
    <x v="0"/>
    <x v="3"/>
    <x v="0"/>
    <d v="2024-03-14T00:00:00"/>
    <n v="50000"/>
    <x v="0"/>
  </r>
  <r>
    <s v="E012"/>
    <s v="Riya"/>
    <s v="Singh"/>
    <x v="1"/>
    <x v="2"/>
    <x v="0"/>
    <d v="2023-09-09T00:00:00"/>
    <n v="62000"/>
    <x v="7"/>
  </r>
  <r>
    <s v="E013"/>
    <s v="Manish"/>
    <s v="Verma"/>
    <x v="0"/>
    <x v="0"/>
    <x v="1"/>
    <d v="2025-01-17T00:00:00"/>
    <n v="35000"/>
    <x v="2"/>
  </r>
  <r>
    <s v="E014"/>
    <s v="Komal"/>
    <s v="Agarwal"/>
    <x v="1"/>
    <x v="1"/>
    <x v="0"/>
    <d v="2023-03-03T00:00:00"/>
    <n v="68000"/>
    <x v="0"/>
  </r>
  <r>
    <s v="E015"/>
    <s v="Suresh"/>
    <s v="Kumar"/>
    <x v="0"/>
    <x v="2"/>
    <x v="2"/>
    <d v="2022-10-28T00:00:00"/>
    <n v="47000"/>
    <x v="8"/>
  </r>
  <r>
    <s v="E016"/>
    <s v="Nisha"/>
    <s v="Gupta"/>
    <x v="1"/>
    <x v="3"/>
    <x v="0"/>
    <d v="2024-03-16T00:00:00"/>
    <n v="53000"/>
    <x v="0"/>
  </r>
  <r>
    <s v="E017"/>
    <s v="Deepak"/>
    <s v="Rana"/>
    <x v="0"/>
    <x v="1"/>
    <x v="0"/>
    <d v="2021-05-07T00:00:00"/>
    <n v="75000"/>
    <x v="9"/>
  </r>
  <r>
    <s v="E018"/>
    <s v="Shweta"/>
    <s v="Roy"/>
    <x v="1"/>
    <x v="0"/>
    <x v="0"/>
    <d v="2023-12-19T00:00:00"/>
    <n v="49000"/>
    <x v="10"/>
  </r>
  <r>
    <s v="E019"/>
    <s v="Varun"/>
    <s v="Bansal"/>
    <x v="0"/>
    <x v="3"/>
    <x v="1"/>
    <d v="2025-03-23T00:00:00"/>
    <n v="39000"/>
    <x v="0"/>
  </r>
  <r>
    <s v="E020"/>
    <s v="Divya"/>
    <s v="Shah"/>
    <x v="1"/>
    <x v="2"/>
    <x v="0"/>
    <d v="2024-03-01T00:00:00"/>
    <n v="59000"/>
    <x v="0"/>
  </r>
  <r>
    <s v="E021"/>
    <s v="Raj"/>
    <s v="Chauhan"/>
    <x v="0"/>
    <x v="0"/>
    <x v="2"/>
    <d v="2022-11-10T00:00:00"/>
    <n v="46000"/>
    <x v="11"/>
  </r>
  <r>
    <s v="E022"/>
    <s v="Sonia"/>
    <s v="Patel"/>
    <x v="1"/>
    <x v="1"/>
    <x v="0"/>
    <d v="2025-03-15T00:00:00"/>
    <n v="70000"/>
    <x v="0"/>
  </r>
  <r>
    <s v="E023"/>
    <s v="Mohit"/>
    <s v="Gupta"/>
    <x v="0"/>
    <x v="3"/>
    <x v="0"/>
    <d v="2023-02-20T00:00:00"/>
    <n v="51000"/>
    <x v="3"/>
  </r>
  <r>
    <s v="E024"/>
    <s v="Kavita"/>
    <s v="Sethi"/>
    <x v="1"/>
    <x v="2"/>
    <x v="1"/>
    <d v="2025-03-06T00:00:00"/>
    <n v="42000"/>
    <x v="0"/>
  </r>
  <r>
    <s v="E025"/>
    <s v="Akash"/>
    <s v="Joshi"/>
    <x v="0"/>
    <x v="1"/>
    <x v="0"/>
    <d v="2024-01-13T00:00:00"/>
    <n v="66000"/>
    <x v="2"/>
  </r>
  <r>
    <s v="E026"/>
    <s v="Tanya"/>
    <s v="Bhatia"/>
    <x v="1"/>
    <x v="0"/>
    <x v="0"/>
    <d v="2023-03-24T00:00:00"/>
    <n v="57000"/>
    <x v="0"/>
  </r>
  <r>
    <s v="E027"/>
    <s v="Nitin"/>
    <s v="Rawat"/>
    <x v="0"/>
    <x v="2"/>
    <x v="0"/>
    <d v="2022-07-18T00:00:00"/>
    <n v="61000"/>
    <x v="5"/>
  </r>
  <r>
    <s v="E028"/>
    <s v="Meena"/>
    <s v="Das"/>
    <x v="1"/>
    <x v="3"/>
    <x v="2"/>
    <d v="2024-03-09T00:00:00"/>
    <n v="45000"/>
    <x v="0"/>
  </r>
  <r>
    <s v="E029"/>
    <s v="Abhishek"/>
    <s v="Roy"/>
    <x v="0"/>
    <x v="1"/>
    <x v="1"/>
    <d v="2025-03-11T00:00:00"/>
    <n v="40000"/>
    <x v="0"/>
  </r>
  <r>
    <s v="E030"/>
    <s v="Pallavi"/>
    <s v="Sharma"/>
    <x v="1"/>
    <x v="0"/>
    <x v="0"/>
    <d v="2021-06-27T00:00:00"/>
    <n v="54000"/>
    <x v="4"/>
  </r>
  <r>
    <s v="E031"/>
    <s v="Rohan"/>
    <s v="Mehta"/>
    <x v="0"/>
    <x v="1"/>
    <x v="0"/>
    <d v="2026-09-05T00:00:00"/>
    <n v="62000"/>
    <x v="7"/>
  </r>
  <r>
    <s v="E032"/>
    <s v="Sneha"/>
    <s v="Kapoor"/>
    <x v="1"/>
    <x v="0"/>
    <x v="0"/>
    <d v="2026-09-12T00:00:00"/>
    <n v="56000"/>
    <x v="7"/>
  </r>
  <r>
    <s v="E033"/>
    <s v="Varun"/>
    <s v="Das"/>
    <x v="0"/>
    <x v="2"/>
    <x v="0"/>
    <d v="2026-09-18T00:00:00"/>
    <n v="60000"/>
    <x v="7"/>
  </r>
  <r>
    <s v="E034"/>
    <s v="Aarti"/>
    <s v="Jain"/>
    <x v="1"/>
    <x v="3"/>
    <x v="1"/>
    <d v="2026-09-20T00:00:00"/>
    <n v="43000"/>
    <x v="7"/>
  </r>
  <r>
    <s v="E035"/>
    <s v="Mohan"/>
    <s v="Roy"/>
    <x v="0"/>
    <x v="1"/>
    <x v="2"/>
    <d v="2026-09-25T00:00:00"/>
    <n v="58000"/>
    <x v="7"/>
  </r>
  <r>
    <s v="E036"/>
    <s v="Abhishek"/>
    <s v="Rajput"/>
    <x v="0"/>
    <x v="1"/>
    <x v="1"/>
    <d v="2026-09-20T00:00:00"/>
    <n v="65000"/>
    <x v="7"/>
  </r>
  <r>
    <s v="E037"/>
    <s v="Ragini"/>
    <s v="Singh"/>
    <x v="1"/>
    <x v="0"/>
    <x v="0"/>
    <d v="2024-01-13T00:00:00"/>
    <n v="52000"/>
    <x v="2"/>
  </r>
  <r>
    <s v="E038"/>
    <s v="Viraj"/>
    <s v="Chandel"/>
    <x v="0"/>
    <x v="2"/>
    <x v="2"/>
    <d v="2021-05-07T00:00:00"/>
    <n v="47000"/>
    <x v="9"/>
  </r>
  <r>
    <s v="E039"/>
    <s v="Rahul"/>
    <s v="Kumar"/>
    <x v="0"/>
    <x v="3"/>
    <x v="1"/>
    <d v="2025-03-15T00:00:00"/>
    <n v="58000"/>
    <x v="0"/>
  </r>
  <r>
    <s v="E040"/>
    <s v="Priya"/>
    <s v="Singh"/>
    <x v="1"/>
    <x v="4"/>
    <x v="0"/>
    <d v="2024-07-25T00:00:00"/>
    <n v="25500"/>
    <x v="5"/>
  </r>
  <r>
    <s v="E041"/>
    <s v="Ritik"/>
    <s v="Shukla"/>
    <x v="2"/>
    <x v="4"/>
    <x v="0"/>
    <d v="2026-01-01T00:00:00"/>
    <n v="50000"/>
    <x v="2"/>
  </r>
  <r>
    <s v="E042"/>
    <s v="Arjun"/>
    <s v="Mehta"/>
    <x v="0"/>
    <x v="4"/>
    <x v="0"/>
    <d v="2026-09-19T00:00:00"/>
    <n v="60000"/>
    <x v="7"/>
  </r>
  <r>
    <s v="E043"/>
    <s v="Neha"/>
    <s v="Sharma"/>
    <x v="1"/>
    <x v="0"/>
    <x v="0"/>
    <d v="2026-09-20T00:00:00"/>
    <n v="58000"/>
    <x v="7"/>
  </r>
  <r>
    <s v="E044"/>
    <s v="Amit"/>
    <s v="Verma"/>
    <x v="0"/>
    <x v="1"/>
    <x v="1"/>
    <d v="2026-10-05T00:00:00"/>
    <n v="42000"/>
    <x v="8"/>
  </r>
  <r>
    <s v="E045"/>
    <s v="Pooja"/>
    <s v="Singh"/>
    <x v="1"/>
    <x v="4"/>
    <x v="2"/>
    <d v="2026-10-12T00:00:00"/>
    <n v="51000"/>
    <x v="8"/>
  </r>
  <r>
    <s v="E046"/>
    <s v="Anum"/>
    <s v="Irfan"/>
    <x v="1"/>
    <x v="4"/>
    <x v="1"/>
    <d v="2025-07-27T00:00:00"/>
    <n v="8000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338548-C073-4DA7-ABF0-ADBCDA41E394}" name="PivotTable9"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E10" firstHeaderRow="1" firstDataRow="2" firstDataCol="1"/>
  <pivotFields count="9">
    <pivotField dataField="1" showAll="0"/>
    <pivotField showAll="0"/>
    <pivotField showAll="0"/>
    <pivotField showAll="0"/>
    <pivotField axis="axisRow" showAll="0">
      <items count="6">
        <item x="2"/>
        <item x="0"/>
        <item x="1"/>
        <item x="3"/>
        <item x="4"/>
        <item t="default"/>
      </items>
    </pivotField>
    <pivotField axis="axisCol" showAll="0">
      <items count="4">
        <item x="2"/>
        <item x="0"/>
        <item x="1"/>
        <item t="default"/>
      </items>
    </pivotField>
    <pivotField numFmtId="14" showAll="0"/>
    <pivotField numFmtId="164" showAll="0"/>
    <pivotField showAll="0">
      <items count="13">
        <item x="2"/>
        <item x="3"/>
        <item x="0"/>
        <item x="1"/>
        <item x="9"/>
        <item x="4"/>
        <item x="5"/>
        <item x="6"/>
        <item x="7"/>
        <item x="8"/>
        <item x="11"/>
        <item x="10"/>
        <item t="default"/>
      </items>
    </pivotField>
  </pivotFields>
  <rowFields count="1">
    <field x="4"/>
  </rowFields>
  <rowItems count="6">
    <i>
      <x/>
    </i>
    <i>
      <x v="1"/>
    </i>
    <i>
      <x v="2"/>
    </i>
    <i>
      <x v="3"/>
    </i>
    <i>
      <x v="4"/>
    </i>
    <i t="grand">
      <x/>
    </i>
  </rowItems>
  <colFields count="1">
    <field x="5"/>
  </colFields>
  <colItems count="4">
    <i>
      <x/>
    </i>
    <i>
      <x v="1"/>
    </i>
    <i>
      <x v="2"/>
    </i>
    <i t="grand">
      <x/>
    </i>
  </colItems>
  <dataFields count="1">
    <dataField name="Count of Employee ID" fld="0" subtotal="count" baseField="0" baseItem="0"/>
  </dataFields>
  <chartFormats count="4">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2">
          <reference field="4294967294" count="1" selected="0">
            <x v="0"/>
          </reference>
          <reference field="5" count="1" selected="0">
            <x v="2"/>
          </reference>
        </references>
      </pivotArea>
    </chartFormat>
    <chartFormat chart="1" format="3" series="1">
      <pivotArea type="data" outline="0" fieldPosition="0">
        <references count="2">
          <reference field="4294967294" count="1" selected="0">
            <x v="0"/>
          </reference>
          <reference field="5" count="1" selected="0">
            <x v="1"/>
          </reference>
        </references>
      </pivotArea>
    </chartFormat>
    <chartFormat chart="1" format="4"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63771E6-FA8B-46A9-89FB-26D280297CCB}" name="PivotTable1"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9" firstHeaderRow="1" firstDataRow="1" firstDataCol="1"/>
  <pivotFields count="9">
    <pivotField dataField="1" showAll="0"/>
    <pivotField showAll="0"/>
    <pivotField showAll="0"/>
    <pivotField showAll="0"/>
    <pivotField axis="axisRow" showAll="0">
      <items count="6">
        <item x="2"/>
        <item x="0"/>
        <item x="1"/>
        <item x="3"/>
        <item x="4"/>
        <item t="default"/>
      </items>
    </pivotField>
    <pivotField showAll="0">
      <items count="4">
        <item x="2"/>
        <item x="0"/>
        <item x="1"/>
        <item t="default"/>
      </items>
    </pivotField>
    <pivotField numFmtId="14" showAll="0"/>
    <pivotField showAll="0"/>
    <pivotField showAll="0">
      <items count="13">
        <item x="2"/>
        <item x="3"/>
        <item x="0"/>
        <item x="1"/>
        <item x="9"/>
        <item x="4"/>
        <item x="5"/>
        <item x="6"/>
        <item x="7"/>
        <item x="8"/>
        <item x="11"/>
        <item x="10"/>
        <item t="default"/>
      </items>
    </pivotField>
  </pivotFields>
  <rowFields count="1">
    <field x="4"/>
  </rowFields>
  <rowItems count="6">
    <i>
      <x/>
    </i>
    <i>
      <x v="1"/>
    </i>
    <i>
      <x v="2"/>
    </i>
    <i>
      <x v="3"/>
    </i>
    <i>
      <x v="4"/>
    </i>
    <i t="grand">
      <x/>
    </i>
  </rowItems>
  <colItems count="1">
    <i/>
  </colItems>
  <dataFields count="1">
    <dataField name="Count of Employee ID" fld="0" subtotal="count" baseField="0" baseItem="0"/>
  </dataFields>
  <formats count="15">
    <format dxfId="20">
      <pivotArea type="all" dataOnly="0" outline="0" fieldPosition="0"/>
    </format>
    <format dxfId="19">
      <pivotArea outline="0" collapsedLevelsAreSubtotals="1" fieldPosition="0"/>
    </format>
    <format dxfId="18">
      <pivotArea type="origin" dataOnly="0" labelOnly="1" outline="0" fieldPosition="0"/>
    </format>
    <format dxfId="17">
      <pivotArea field="5" type="button" dataOnly="0" labelOnly="1" outline="0"/>
    </format>
    <format dxfId="16">
      <pivotArea type="topRight" dataOnly="0" labelOnly="1" outline="0" fieldPosition="0"/>
    </format>
    <format dxfId="15">
      <pivotArea field="4" type="button" dataOnly="0" labelOnly="1" outline="0" axis="axisRow" fieldPosition="0"/>
    </format>
    <format dxfId="14">
      <pivotArea dataOnly="0" labelOnly="1" grandRow="1" outline="0" fieldPosition="0"/>
    </format>
    <format dxfId="13">
      <pivotArea dataOnly="0" labelOnly="1" grandCol="1" outline="0" fieldPosition="0"/>
    </format>
    <format dxfId="12">
      <pivotArea field="4" type="button" dataOnly="0" labelOnly="1" outline="0" axis="axisRow" fieldPosition="0"/>
    </format>
    <format dxfId="11">
      <pivotArea dataOnly="0" labelOnly="1" grandCol="1" outline="0" fieldPosition="0"/>
    </format>
    <format dxfId="10">
      <pivotArea field="4" type="button" dataOnly="0" labelOnly="1" outline="0" axis="axisRow" fieldPosition="0"/>
    </format>
    <format dxfId="9">
      <pivotArea dataOnly="0" labelOnly="1" grandCol="1" outline="0" fieldPosition="0"/>
    </format>
    <format dxfId="8">
      <pivotArea type="origin" dataOnly="0" labelOnly="1" outline="0" fieldPosition="0"/>
    </format>
    <format dxfId="7">
      <pivotArea dataOnly="0" labelOnly="1" grandRow="1" outline="0" fieldPosition="0"/>
    </format>
    <format dxfId="6">
      <pivotArea grandRow="1" outline="0" collapsedLevelsAreSubtotals="1"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66BB4A-725B-4C6C-A468-6A87A0E25744}" name="PivotTable3"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7" firstHeaderRow="1" firstDataRow="1" firstDataCol="1"/>
  <pivotFields count="9">
    <pivotField dataField="1" showAll="0"/>
    <pivotField showAll="0"/>
    <pivotField showAll="0"/>
    <pivotField axis="axisRow" showAll="0">
      <items count="4">
        <item x="1"/>
        <item x="0"/>
        <item x="2"/>
        <item t="default"/>
      </items>
    </pivotField>
    <pivotField showAll="0">
      <items count="6">
        <item x="2"/>
        <item x="0"/>
        <item x="1"/>
        <item x="4"/>
        <item x="3"/>
        <item t="default"/>
      </items>
    </pivotField>
    <pivotField showAll="0">
      <items count="4">
        <item x="2"/>
        <item x="0"/>
        <item x="1"/>
        <item t="default"/>
      </items>
    </pivotField>
    <pivotField numFmtId="14" showAll="0"/>
    <pivotField showAll="0"/>
    <pivotField showAll="0">
      <items count="13">
        <item x="2"/>
        <item x="3"/>
        <item x="0"/>
        <item x="1"/>
        <item x="9"/>
        <item x="4"/>
        <item x="5"/>
        <item x="6"/>
        <item x="7"/>
        <item x="8"/>
        <item x="11"/>
        <item x="10"/>
        <item t="default"/>
      </items>
    </pivotField>
  </pivotFields>
  <rowFields count="1">
    <field x="3"/>
  </rowFields>
  <rowItems count="4">
    <i>
      <x/>
    </i>
    <i>
      <x v="1"/>
    </i>
    <i>
      <x v="2"/>
    </i>
    <i t="grand">
      <x/>
    </i>
  </rowItems>
  <colItems count="1">
    <i/>
  </colItems>
  <dataFields count="1">
    <dataField name="Count of Employee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0079F4-551E-47E0-A844-B896626B7A62}" name="PivotTable5"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9" firstHeaderRow="1" firstDataRow="1" firstDataCol="1"/>
  <pivotFields count="9">
    <pivotField showAll="0"/>
    <pivotField showAll="0"/>
    <pivotField showAll="0"/>
    <pivotField showAll="0"/>
    <pivotField axis="axisRow" showAll="0">
      <items count="6">
        <item x="2"/>
        <item x="0"/>
        <item x="1"/>
        <item x="3"/>
        <item x="4"/>
        <item t="default"/>
      </items>
    </pivotField>
    <pivotField showAll="0">
      <items count="4">
        <item x="2"/>
        <item x="0"/>
        <item x="1"/>
        <item t="default"/>
      </items>
    </pivotField>
    <pivotField numFmtId="14" showAll="0"/>
    <pivotField dataField="1" showAll="0"/>
    <pivotField showAll="0">
      <items count="13">
        <item x="2"/>
        <item x="3"/>
        <item x="0"/>
        <item x="1"/>
        <item x="9"/>
        <item x="4"/>
        <item x="5"/>
        <item x="6"/>
        <item x="7"/>
        <item x="8"/>
        <item x="11"/>
        <item x="10"/>
        <item t="default"/>
      </items>
    </pivotField>
  </pivotFields>
  <rowFields count="1">
    <field x="4"/>
  </rowFields>
  <rowItems count="6">
    <i>
      <x/>
    </i>
    <i>
      <x v="1"/>
    </i>
    <i>
      <x v="2"/>
    </i>
    <i>
      <x v="3"/>
    </i>
    <i>
      <x v="4"/>
    </i>
    <i t="grand">
      <x/>
    </i>
  </rowItems>
  <colItems count="1">
    <i/>
  </colItems>
  <dataFields count="1">
    <dataField name="Average of Salary" fld="7" subtotal="average" baseField="4" baseItem="0" numFmtId="164"/>
  </dataFields>
  <formats count="3">
    <format dxfId="5">
      <pivotArea collapsedLevelsAreSubtotals="1" fieldPosition="0">
        <references count="1">
          <reference field="4" count="1">
            <x v="1"/>
          </reference>
        </references>
      </pivotArea>
    </format>
    <format dxfId="4">
      <pivotArea outline="0" collapsedLevelsAreSubtotals="1" fieldPosition="0"/>
    </format>
    <format dxfId="3">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FA5530B-D8D7-4317-B91E-B7C5FBB81470}" name="PivotTable7"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6" firstHeaderRow="1" firstDataRow="1" firstDataCol="1"/>
  <pivotFields count="9">
    <pivotField dataField="1" showAll="0"/>
    <pivotField showAll="0"/>
    <pivotField showAll="0"/>
    <pivotField showAll="0"/>
    <pivotField showAll="0">
      <items count="6">
        <item x="2"/>
        <item x="0"/>
        <item x="1"/>
        <item x="4"/>
        <item x="3"/>
        <item t="default"/>
      </items>
    </pivotField>
    <pivotField showAll="0">
      <items count="4">
        <item x="2"/>
        <item x="0"/>
        <item x="1"/>
        <item t="default"/>
      </items>
    </pivotField>
    <pivotField numFmtId="14" showAll="0"/>
    <pivotField numFmtId="164" showAll="0"/>
    <pivotField axis="axisRow" showAll="0">
      <items count="13">
        <item x="2"/>
        <item x="3"/>
        <item x="0"/>
        <item x="1"/>
        <item x="9"/>
        <item x="4"/>
        <item x="5"/>
        <item x="6"/>
        <item x="7"/>
        <item x="8"/>
        <item x="11"/>
        <item x="10"/>
        <item t="default"/>
      </items>
    </pivotField>
  </pivotFields>
  <rowFields count="1">
    <field x="8"/>
  </rowFields>
  <rowItems count="13">
    <i>
      <x/>
    </i>
    <i>
      <x v="1"/>
    </i>
    <i>
      <x v="2"/>
    </i>
    <i>
      <x v="3"/>
    </i>
    <i>
      <x v="4"/>
    </i>
    <i>
      <x v="5"/>
    </i>
    <i>
      <x v="6"/>
    </i>
    <i>
      <x v="7"/>
    </i>
    <i>
      <x v="8"/>
    </i>
    <i>
      <x v="9"/>
    </i>
    <i>
      <x v="10"/>
    </i>
    <i>
      <x v="11"/>
    </i>
    <i t="grand">
      <x/>
    </i>
  </rowItems>
  <colItems count="1">
    <i/>
  </colItems>
  <dataFields count="1">
    <dataField name="Count of Employee ID" fld="0" subtotal="count" baseField="0" baseItem="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5A13B91-7F5B-4E17-8EE2-5BA2FCF58F94}" autoFormatId="16" applyNumberFormats="0" applyBorderFormats="0" applyFontFormats="0" applyPatternFormats="0" applyAlignmentFormats="0" applyWidthHeightFormats="0">
  <queryTableRefresh nextId="10">
    <queryTableFields count="9">
      <queryTableField id="1" name="Employee ID" tableColumnId="1"/>
      <queryTableField id="2" name="First Name" tableColumnId="2"/>
      <queryTableField id="3" name="Last Name" tableColumnId="3"/>
      <queryTableField id="4" name="Gender" tableColumnId="4"/>
      <queryTableField id="5" name="Department" tableColumnId="5"/>
      <queryTableField id="6" name="Employment Type" tableColumnId="6"/>
      <queryTableField id="7" name="Joining Date" tableColumnId="7"/>
      <queryTableField id="8" name="Salary" tableColumnId="8"/>
      <queryTableField id="9" name="Joining Month"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12D5FCBB-7CB9-41F5-9403-F700DFD8FDF1}" sourceName="Department">
  <pivotTables>
    <pivotTable tabId="10" name="PivotTable9"/>
    <pivotTable tabId="4" name="PivotTable1"/>
    <pivotTable tabId="6" name="PivotTable3"/>
    <pivotTable tabId="7" name="PivotTable5"/>
    <pivotTable tabId="8" name="PivotTable7"/>
  </pivotTables>
  <data>
    <tabular pivotCacheId="983178832">
      <items count="5">
        <i x="2" s="1"/>
        <i x="0" s="1"/>
        <i x="1" s="1"/>
        <i x="4"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ment_Type" xr10:uid="{2EBBA413-B484-4B53-80E5-CDA81C81F03F}" sourceName="Employment Type">
  <pivotTables>
    <pivotTable tabId="10" name="PivotTable9"/>
    <pivotTable tabId="4" name="PivotTable1"/>
    <pivotTable tabId="6" name="PivotTable3"/>
    <pivotTable tabId="7" name="PivotTable5"/>
    <pivotTable tabId="8" name="PivotTable7"/>
  </pivotTables>
  <data>
    <tabular pivotCacheId="983178832">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ining_Month" xr10:uid="{51550565-E943-4F42-B83C-5D5E75A4EDBE}" sourceName="Joining Month">
  <pivotTables>
    <pivotTable tabId="10" name="PivotTable9"/>
    <pivotTable tabId="4" name="PivotTable1"/>
    <pivotTable tabId="6" name="PivotTable3"/>
    <pivotTable tabId="7" name="PivotTable5"/>
    <pivotTable tabId="8" name="PivotTable7"/>
  </pivotTables>
  <data>
    <tabular pivotCacheId="983178832">
      <items count="12">
        <i x="2" s="1"/>
        <i x="3" s="1"/>
        <i x="0" s="1"/>
        <i x="1" s="1"/>
        <i x="9" s="1"/>
        <i x="4" s="1"/>
        <i x="5" s="1"/>
        <i x="6" s="1"/>
        <i x="7" s="1"/>
        <i x="8" s="1"/>
        <i x="11"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AF189E03-C970-41EE-853B-519223E42439}" cache="Slicer_Department" caption="Department" style="SlicerStyleOther2" rowHeight="241300"/>
  <slicer name="Employment Type" xr10:uid="{35B6D9BC-A7E8-476A-B11B-D0ABF1923964}" cache="Slicer_Employment_Type" caption="Employment Type" style="SlicerStyleOther2" rowHeight="241300"/>
  <slicer name="Joining Month" xr10:uid="{E0E5EA33-038E-4CE1-BD5B-BF11D3BA0941}" cache="Slicer_Joining_Month" caption="Joining Month" style="SlicerStyleOther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1C94B44-D508-48D2-9DDD-E35D9F8D2A9A}" name="Empdata_2" displayName="Empdata_2" ref="A1:I47" tableType="queryTable" totalsRowShown="0">
  <autoFilter ref="A1:I47" xr:uid="{77F4D011-C8F5-4B8E-8744-A9CC99EAE68B}"/>
  <tableColumns count="9">
    <tableColumn id="1" xr3:uid="{53EEB82D-4A97-4DA7-8226-2ED6F25BD2C7}" uniqueName="1" name="Employee ID" queryTableFieldId="1"/>
    <tableColumn id="2" xr3:uid="{CD7AA5D9-6B13-431D-B9E0-6FD44184F249}" uniqueName="2" name="First Name" queryTableFieldId="2"/>
    <tableColumn id="3" xr3:uid="{1CC2FDC5-EC73-4EE6-B74D-B2537D614B60}" uniqueName="3" name="Last Name" queryTableFieldId="3"/>
    <tableColumn id="4" xr3:uid="{EFB63C8E-385B-41BD-86DB-2ADE4D29F165}" uniqueName="4" name="Gender" queryTableFieldId="4"/>
    <tableColumn id="5" xr3:uid="{6EF92FF4-E017-4809-AE1B-2F19AC4E46DE}" uniqueName="5" name="Department" queryTableFieldId="5"/>
    <tableColumn id="6" xr3:uid="{77C9E03B-1F29-44F4-A323-90439D6F798C}" uniqueName="6" name="Employment Type" queryTableFieldId="6"/>
    <tableColumn id="7" xr3:uid="{371001E6-40B9-464F-9F50-F20C08C2229A}" uniqueName="7" name="Joining Date" queryTableFieldId="7" dataDxfId="1"/>
    <tableColumn id="8" xr3:uid="{5BC852AD-B4A4-4A25-A1F0-A14B1A9ED21D}" uniqueName="8" name="Salary" queryTableFieldId="8" dataDxfId="0"/>
    <tableColumn id="9" xr3:uid="{514474F2-D061-4455-A615-CC123E8D39B6}" uniqueName="9" name="Joining Month"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181FBC1-5FF1-487E-93FF-F985B3C93DC1}" name="Empdata" displayName="Empdata" ref="A1:H47" totalsRowShown="0">
  <autoFilter ref="A1:H47" xr:uid="{617050AF-83FE-43DE-AA5D-A8781958336E}"/>
  <tableColumns count="8">
    <tableColumn id="1" xr3:uid="{1B5E9063-D620-494E-AD40-4DD7C29722F4}" name="Employee ID"/>
    <tableColumn id="2" xr3:uid="{676B7D10-7F00-4660-B734-9A7841327194}" name="First Name"/>
    <tableColumn id="3" xr3:uid="{9203E784-94AA-4B6B-82EF-B7BDBF062598}" name="Last Name"/>
    <tableColumn id="4" xr3:uid="{850B8131-B915-491D-AF40-1172E8E87AF0}" name="Gender"/>
    <tableColumn id="5" xr3:uid="{927C951F-5E9B-4328-8C5B-F055F13E4178}" name="Department"/>
    <tableColumn id="6" xr3:uid="{99D1C4D7-8F97-4A03-960B-DCD3A5285217}" name="Employment Type"/>
    <tableColumn id="7" xr3:uid="{8EBF86F5-6A81-4E85-9ACE-4289D9EF6E7E}" name="Joining Date" dataDxfId="2"/>
    <tableColumn id="8" xr3:uid="{E623092C-4830-426A-BFE2-879ED2EE704A}" name="Salary"/>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93110-6A38-4940-9CCE-0D0CE1D21172}">
  <sheetPr codeName="Sheet1"/>
  <dimension ref="A3:E10"/>
  <sheetViews>
    <sheetView workbookViewId="0">
      <selection activeCell="B4" sqref="B4"/>
    </sheetView>
  </sheetViews>
  <sheetFormatPr defaultRowHeight="15" x14ac:dyDescent="0.25"/>
  <cols>
    <col min="1" max="1" width="20.42578125" bestFit="1" customWidth="1"/>
    <col min="2" max="2" width="16.28515625" bestFit="1" customWidth="1"/>
    <col min="3" max="3" width="10.85546875" bestFit="1" customWidth="1"/>
    <col min="4" max="4" width="10.5703125" bestFit="1" customWidth="1"/>
    <col min="5" max="6" width="11.28515625" bestFit="1" customWidth="1"/>
  </cols>
  <sheetData>
    <row r="3" spans="1:5" x14ac:dyDescent="0.25">
      <c r="A3" s="10" t="s">
        <v>139</v>
      </c>
      <c r="B3" s="10" t="s">
        <v>140</v>
      </c>
    </row>
    <row r="4" spans="1:5" x14ac:dyDescent="0.25">
      <c r="A4" s="10" t="s">
        <v>137</v>
      </c>
      <c r="B4" t="s">
        <v>27</v>
      </c>
      <c r="C4" t="s">
        <v>13</v>
      </c>
      <c r="D4" t="s">
        <v>23</v>
      </c>
      <c r="E4" t="s">
        <v>138</v>
      </c>
    </row>
    <row r="5" spans="1:5" x14ac:dyDescent="0.25">
      <c r="A5" s="11" t="s">
        <v>22</v>
      </c>
      <c r="B5" s="12">
        <v>2</v>
      </c>
      <c r="C5" s="12">
        <v>5</v>
      </c>
      <c r="D5" s="12">
        <v>2</v>
      </c>
      <c r="E5" s="12">
        <v>9</v>
      </c>
    </row>
    <row r="6" spans="1:5" x14ac:dyDescent="0.25">
      <c r="A6" s="11" t="s">
        <v>12</v>
      </c>
      <c r="B6" s="12">
        <v>2</v>
      </c>
      <c r="C6" s="12">
        <v>8</v>
      </c>
      <c r="D6" s="12">
        <v>1</v>
      </c>
      <c r="E6" s="12">
        <v>11</v>
      </c>
    </row>
    <row r="7" spans="1:5" x14ac:dyDescent="0.25">
      <c r="A7" s="11" t="s">
        <v>18</v>
      </c>
      <c r="B7" s="12">
        <v>2</v>
      </c>
      <c r="C7" s="12">
        <v>7</v>
      </c>
      <c r="D7" s="12">
        <v>3</v>
      </c>
      <c r="E7" s="12">
        <v>12</v>
      </c>
    </row>
    <row r="8" spans="1:5" x14ac:dyDescent="0.25">
      <c r="A8" s="11" t="s">
        <v>31</v>
      </c>
      <c r="B8" s="12">
        <v>1</v>
      </c>
      <c r="C8" s="12">
        <v>4</v>
      </c>
      <c r="D8" s="12">
        <v>4</v>
      </c>
      <c r="E8" s="12">
        <v>9</v>
      </c>
    </row>
    <row r="9" spans="1:5" x14ac:dyDescent="0.25">
      <c r="A9" s="11" t="s">
        <v>154</v>
      </c>
      <c r="B9" s="12">
        <v>1</v>
      </c>
      <c r="C9" s="12">
        <v>3</v>
      </c>
      <c r="D9" s="12">
        <v>1</v>
      </c>
      <c r="E9" s="12">
        <v>5</v>
      </c>
    </row>
    <row r="10" spans="1:5" x14ac:dyDescent="0.25">
      <c r="A10" s="11" t="s">
        <v>138</v>
      </c>
      <c r="B10" s="12">
        <v>8</v>
      </c>
      <c r="C10" s="12">
        <v>27</v>
      </c>
      <c r="D10" s="12">
        <v>11</v>
      </c>
      <c r="E10" s="12">
        <v>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7E0DF-7CF7-45BF-B9F1-C0A714CC6FA9}">
  <sheetPr codeName="Sheet2"/>
  <dimension ref="A3:B9"/>
  <sheetViews>
    <sheetView topLeftCell="A2" workbookViewId="0">
      <selection activeCell="A3" sqref="A3"/>
    </sheetView>
  </sheetViews>
  <sheetFormatPr defaultRowHeight="15" x14ac:dyDescent="0.25"/>
  <cols>
    <col min="1" max="1" width="13.140625" bestFit="1" customWidth="1"/>
    <col min="2" max="2" width="20.42578125" bestFit="1" customWidth="1"/>
    <col min="3" max="3" width="10.85546875" bestFit="1" customWidth="1"/>
    <col min="4" max="4" width="10.5703125" bestFit="1" customWidth="1"/>
    <col min="5" max="5" width="11.28515625" bestFit="1" customWidth="1"/>
  </cols>
  <sheetData>
    <row r="3" spans="1:2" x14ac:dyDescent="0.25">
      <c r="A3" s="15" t="s">
        <v>137</v>
      </c>
      <c r="B3" s="16" t="s">
        <v>139</v>
      </c>
    </row>
    <row r="4" spans="1:2" x14ac:dyDescent="0.25">
      <c r="A4" s="13" t="s">
        <v>22</v>
      </c>
      <c r="B4" s="14">
        <v>9</v>
      </c>
    </row>
    <row r="5" spans="1:2" x14ac:dyDescent="0.25">
      <c r="A5" s="13" t="s">
        <v>12</v>
      </c>
      <c r="B5" s="14">
        <v>11</v>
      </c>
    </row>
    <row r="6" spans="1:2" x14ac:dyDescent="0.25">
      <c r="A6" s="13" t="s">
        <v>18</v>
      </c>
      <c r="B6" s="14">
        <v>12</v>
      </c>
    </row>
    <row r="7" spans="1:2" x14ac:dyDescent="0.25">
      <c r="A7" s="13" t="s">
        <v>31</v>
      </c>
      <c r="B7" s="14">
        <v>9</v>
      </c>
    </row>
    <row r="8" spans="1:2" ht="15.75" thickBot="1" x14ac:dyDescent="0.3">
      <c r="A8" s="13" t="s">
        <v>154</v>
      </c>
      <c r="B8" s="14">
        <v>5</v>
      </c>
    </row>
    <row r="9" spans="1:2" ht="15.75" thickBot="1" x14ac:dyDescent="0.3">
      <c r="A9" s="17" t="s">
        <v>138</v>
      </c>
      <c r="B9" s="19">
        <v>46</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5B72A-0931-4062-9BF6-41A83BFAC696}">
  <sheetPr codeName="Sheet3"/>
  <dimension ref="A3:B7"/>
  <sheetViews>
    <sheetView workbookViewId="0">
      <selection activeCell="A4" sqref="A4"/>
    </sheetView>
  </sheetViews>
  <sheetFormatPr defaultRowHeight="15" x14ac:dyDescent="0.25"/>
  <cols>
    <col min="1" max="1" width="13.140625" bestFit="1" customWidth="1"/>
    <col min="2" max="2" width="20.42578125" bestFit="1" customWidth="1"/>
  </cols>
  <sheetData>
    <row r="3" spans="1:2" x14ac:dyDescent="0.25">
      <c r="A3" s="10" t="s">
        <v>137</v>
      </c>
      <c r="B3" t="s">
        <v>139</v>
      </c>
    </row>
    <row r="4" spans="1:2" x14ac:dyDescent="0.25">
      <c r="A4" s="11" t="s">
        <v>17</v>
      </c>
      <c r="B4" s="12">
        <v>22</v>
      </c>
    </row>
    <row r="5" spans="1:2" x14ac:dyDescent="0.25">
      <c r="A5" s="11" t="s">
        <v>11</v>
      </c>
      <c r="B5" s="12">
        <v>23</v>
      </c>
    </row>
    <row r="6" spans="1:2" x14ac:dyDescent="0.25">
      <c r="A6" s="11" t="s">
        <v>158</v>
      </c>
      <c r="B6" s="12">
        <v>1</v>
      </c>
    </row>
    <row r="7" spans="1:2" x14ac:dyDescent="0.25">
      <c r="A7" s="11" t="s">
        <v>138</v>
      </c>
      <c r="B7" s="12">
        <v>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2D2C6-2FC7-4EFD-819F-2EAEF39A5929}">
  <sheetPr codeName="Sheet4"/>
  <dimension ref="A3:B10"/>
  <sheetViews>
    <sheetView workbookViewId="0">
      <selection activeCell="B4" sqref="B4"/>
    </sheetView>
  </sheetViews>
  <sheetFormatPr defaultRowHeight="15" x14ac:dyDescent="0.25"/>
  <cols>
    <col min="1" max="1" width="13.140625" bestFit="1" customWidth="1"/>
    <col min="2" max="2" width="16.42578125" style="18" bestFit="1" customWidth="1"/>
  </cols>
  <sheetData>
    <row r="3" spans="1:2" x14ac:dyDescent="0.25">
      <c r="A3" s="10" t="s">
        <v>137</v>
      </c>
      <c r="B3" s="18" t="s">
        <v>141</v>
      </c>
    </row>
    <row r="4" spans="1:2" x14ac:dyDescent="0.25">
      <c r="A4" s="11" t="s">
        <v>22</v>
      </c>
      <c r="B4" s="18">
        <v>52666.666666666664</v>
      </c>
    </row>
    <row r="5" spans="1:2" x14ac:dyDescent="0.25">
      <c r="A5" s="11" t="s">
        <v>12</v>
      </c>
      <c r="B5" s="18">
        <v>50818.181818181816</v>
      </c>
    </row>
    <row r="6" spans="1:2" x14ac:dyDescent="0.25">
      <c r="A6" s="11" t="s">
        <v>18</v>
      </c>
      <c r="B6" s="18">
        <v>61916.666666666664</v>
      </c>
    </row>
    <row r="7" spans="1:2" x14ac:dyDescent="0.25">
      <c r="A7" s="11" t="s">
        <v>31</v>
      </c>
      <c r="B7" s="18">
        <v>47555.555555555555</v>
      </c>
    </row>
    <row r="8" spans="1:2" x14ac:dyDescent="0.25">
      <c r="A8" s="11" t="s">
        <v>154</v>
      </c>
      <c r="B8" s="18">
        <v>53300</v>
      </c>
    </row>
    <row r="9" spans="1:2" x14ac:dyDescent="0.25">
      <c r="A9" s="11" t="s">
        <v>138</v>
      </c>
      <c r="B9" s="18">
        <v>53706.521739130432</v>
      </c>
    </row>
    <row r="10" spans="1:2" x14ac:dyDescent="0.25">
      <c r="B1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E1481-2B4E-4F3B-9C63-5DC75D53E645}">
  <sheetPr codeName="Sheet5"/>
  <dimension ref="A3:B16"/>
  <sheetViews>
    <sheetView workbookViewId="0">
      <selection activeCell="A4" sqref="A4"/>
    </sheetView>
  </sheetViews>
  <sheetFormatPr defaultRowHeight="15" x14ac:dyDescent="0.25"/>
  <cols>
    <col min="1" max="1" width="13.140625" bestFit="1" customWidth="1"/>
    <col min="2" max="2" width="20.42578125" bestFit="1" customWidth="1"/>
  </cols>
  <sheetData>
    <row r="3" spans="1:2" x14ac:dyDescent="0.25">
      <c r="A3" s="10" t="s">
        <v>137</v>
      </c>
      <c r="B3" t="s">
        <v>139</v>
      </c>
    </row>
    <row r="4" spans="1:2" x14ac:dyDescent="0.25">
      <c r="A4" s="11" t="s">
        <v>112</v>
      </c>
      <c r="B4" s="12">
        <v>5</v>
      </c>
    </row>
    <row r="5" spans="1:2" x14ac:dyDescent="0.25">
      <c r="A5" s="11" t="s">
        <v>113</v>
      </c>
      <c r="B5" s="12">
        <v>2</v>
      </c>
    </row>
    <row r="6" spans="1:2" x14ac:dyDescent="0.25">
      <c r="A6" s="11" t="s">
        <v>110</v>
      </c>
      <c r="B6" s="12">
        <v>15</v>
      </c>
    </row>
    <row r="7" spans="1:2" x14ac:dyDescent="0.25">
      <c r="A7" s="11" t="s">
        <v>111</v>
      </c>
      <c r="B7" s="12">
        <v>1</v>
      </c>
    </row>
    <row r="8" spans="1:2" x14ac:dyDescent="0.25">
      <c r="A8" s="11" t="s">
        <v>119</v>
      </c>
      <c r="B8" s="12">
        <v>2</v>
      </c>
    </row>
    <row r="9" spans="1:2" x14ac:dyDescent="0.25">
      <c r="A9" s="11" t="s">
        <v>114</v>
      </c>
      <c r="B9" s="12">
        <v>2</v>
      </c>
    </row>
    <row r="10" spans="1:2" x14ac:dyDescent="0.25">
      <c r="A10" s="11" t="s">
        <v>115</v>
      </c>
      <c r="B10" s="12">
        <v>4</v>
      </c>
    </row>
    <row r="11" spans="1:2" x14ac:dyDescent="0.25">
      <c r="A11" s="11" t="s">
        <v>116</v>
      </c>
      <c r="B11" s="12">
        <v>1</v>
      </c>
    </row>
    <row r="12" spans="1:2" x14ac:dyDescent="0.25">
      <c r="A12" s="11" t="s">
        <v>117</v>
      </c>
      <c r="B12" s="12">
        <v>9</v>
      </c>
    </row>
    <row r="13" spans="1:2" x14ac:dyDescent="0.25">
      <c r="A13" s="11" t="s">
        <v>118</v>
      </c>
      <c r="B13" s="12">
        <v>3</v>
      </c>
    </row>
    <row r="14" spans="1:2" x14ac:dyDescent="0.25">
      <c r="A14" s="11" t="s">
        <v>121</v>
      </c>
      <c r="B14" s="12">
        <v>1</v>
      </c>
    </row>
    <row r="15" spans="1:2" x14ac:dyDescent="0.25">
      <c r="A15" s="11" t="s">
        <v>120</v>
      </c>
      <c r="B15" s="12">
        <v>1</v>
      </c>
    </row>
    <row r="16" spans="1:2" x14ac:dyDescent="0.25">
      <c r="A16" s="11" t="s">
        <v>138</v>
      </c>
      <c r="B16" s="12">
        <v>46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0A97B-5672-4E80-AD03-C1EC0FDB8C5A}">
  <sheetPr codeName="Sheet6"/>
  <dimension ref="A1:J3"/>
  <sheetViews>
    <sheetView showGridLines="0" tabSelected="1" zoomScale="70" zoomScaleNormal="70" workbookViewId="0">
      <selection activeCell="V24" sqref="V24"/>
    </sheetView>
  </sheetViews>
  <sheetFormatPr defaultRowHeight="15" x14ac:dyDescent="0.25"/>
  <cols>
    <col min="1" max="1" width="25.5703125" customWidth="1"/>
    <col min="2" max="2" width="9.140625" customWidth="1"/>
    <col min="3" max="3" width="34.7109375" bestFit="1" customWidth="1"/>
    <col min="4" max="4" width="9.140625" customWidth="1"/>
    <col min="5" max="5" width="20.7109375" bestFit="1" customWidth="1"/>
    <col min="6" max="6" width="11" customWidth="1"/>
    <col min="7" max="7" width="23.28515625" bestFit="1" customWidth="1"/>
    <col min="8" max="8" width="11.7109375" customWidth="1"/>
    <col min="9" max="10" width="9.140625" customWidth="1"/>
  </cols>
  <sheetData>
    <row r="1" spans="1:10" ht="28.5" customHeight="1" x14ac:dyDescent="0.5">
      <c r="A1" s="22" t="s">
        <v>146</v>
      </c>
      <c r="B1" s="22"/>
      <c r="C1" s="22"/>
      <c r="D1" s="22"/>
      <c r="E1" s="22"/>
      <c r="F1" s="22"/>
      <c r="G1" s="22"/>
      <c r="H1" s="22"/>
      <c r="I1" s="22"/>
      <c r="J1" s="22"/>
    </row>
    <row r="2" spans="1:10" ht="23.25" customHeight="1" x14ac:dyDescent="0.35">
      <c r="A2" s="23" t="s">
        <v>142</v>
      </c>
      <c r="B2" s="23"/>
      <c r="C2" s="23" t="s">
        <v>143</v>
      </c>
      <c r="D2" s="23"/>
      <c r="E2" s="23" t="s">
        <v>144</v>
      </c>
      <c r="F2" s="23"/>
      <c r="G2" s="23" t="s">
        <v>145</v>
      </c>
      <c r="H2" s="23"/>
      <c r="I2" s="23"/>
      <c r="J2" s="23"/>
    </row>
    <row r="3" spans="1:10" ht="21" customHeight="1" x14ac:dyDescent="0.35">
      <c r="A3" s="24">
        <f>COUNTA(Empdata[Employee ID])</f>
        <v>46</v>
      </c>
      <c r="B3" s="24"/>
      <c r="C3" s="24">
        <f>COUNTIFS(Empdata_2[Employment Type],"Permanent")</f>
        <v>27</v>
      </c>
      <c r="D3" s="24"/>
      <c r="E3" s="25">
        <f>COUNTIFS(Empdata[Gender],"Female")/COUNTA(Empdata[Employee ID])</f>
        <v>0.47826086956521741</v>
      </c>
      <c r="F3" s="25"/>
      <c r="G3" s="26">
        <f>AVERAGE(Empdata_2[Salary])</f>
        <v>53706.521739130432</v>
      </c>
      <c r="H3" s="26"/>
      <c r="I3" s="26"/>
      <c r="J3" s="26"/>
    </row>
  </sheetData>
  <sheetProtection sheet="1" objects="1" scenarios="1" pivotTables="0"/>
  <mergeCells count="9">
    <mergeCell ref="A1:J1"/>
    <mergeCell ref="E2:F2"/>
    <mergeCell ref="A2:B2"/>
    <mergeCell ref="C2:D2"/>
    <mergeCell ref="A3:B3"/>
    <mergeCell ref="C3:D3"/>
    <mergeCell ref="E3:F3"/>
    <mergeCell ref="G2:J2"/>
    <mergeCell ref="G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Refresh_MIS">
                <anchor moveWithCells="1" sizeWithCells="1">
                  <from>
                    <xdr:col>10</xdr:col>
                    <xdr:colOff>38100</xdr:colOff>
                    <xdr:row>0</xdr:row>
                    <xdr:rowOff>0</xdr:rowOff>
                  </from>
                  <to>
                    <xdr:col>13</xdr:col>
                    <xdr:colOff>266700</xdr:colOff>
                    <xdr:row>2</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F6A68-48AE-405E-A8F3-0DC17E9B0A05}">
  <sheetPr codeName="Sheet7"/>
  <dimension ref="A1:I47"/>
  <sheetViews>
    <sheetView topLeftCell="A31" workbookViewId="0">
      <selection activeCell="A45" sqref="A45"/>
    </sheetView>
  </sheetViews>
  <sheetFormatPr defaultRowHeight="15" x14ac:dyDescent="0.25"/>
  <cols>
    <col min="1" max="1" width="14.42578125" bestFit="1" customWidth="1"/>
    <col min="2" max="2" width="12.85546875" bestFit="1" customWidth="1"/>
    <col min="3" max="3" width="12.42578125" bestFit="1" customWidth="1"/>
    <col min="4" max="4" width="10" bestFit="1" customWidth="1"/>
    <col min="5" max="5" width="14" bestFit="1" customWidth="1"/>
    <col min="6" max="6" width="19.5703125" bestFit="1" customWidth="1"/>
    <col min="7" max="7" width="14.140625" style="6" bestFit="1" customWidth="1"/>
    <col min="8" max="8" width="8.5703125" style="18" bestFit="1" customWidth="1"/>
    <col min="9" max="9" width="16.140625" bestFit="1" customWidth="1"/>
  </cols>
  <sheetData>
    <row r="1" spans="1:9" x14ac:dyDescent="0.25">
      <c r="A1" t="s">
        <v>0</v>
      </c>
      <c r="B1" t="s">
        <v>1</v>
      </c>
      <c r="C1" t="s">
        <v>2</v>
      </c>
      <c r="D1" t="s">
        <v>3</v>
      </c>
      <c r="E1" t="s">
        <v>4</v>
      </c>
      <c r="F1" t="s">
        <v>5</v>
      </c>
      <c r="G1" s="6" t="s">
        <v>6</v>
      </c>
      <c r="H1" s="18" t="s">
        <v>7</v>
      </c>
      <c r="I1" t="s">
        <v>109</v>
      </c>
    </row>
    <row r="2" spans="1:9" x14ac:dyDescent="0.25">
      <c r="A2" t="s">
        <v>8</v>
      </c>
      <c r="B2" t="s">
        <v>9</v>
      </c>
      <c r="C2" t="s">
        <v>10</v>
      </c>
      <c r="D2" t="s">
        <v>11</v>
      </c>
      <c r="E2" t="s">
        <v>12</v>
      </c>
      <c r="F2" t="s">
        <v>13</v>
      </c>
      <c r="G2" s="6">
        <v>45000</v>
      </c>
      <c r="H2" s="18">
        <v>45000</v>
      </c>
      <c r="I2" t="s">
        <v>110</v>
      </c>
    </row>
    <row r="3" spans="1:9" x14ac:dyDescent="0.25">
      <c r="A3" t="s">
        <v>14</v>
      </c>
      <c r="B3" t="s">
        <v>15</v>
      </c>
      <c r="C3" t="s">
        <v>16</v>
      </c>
      <c r="D3" t="s">
        <v>17</v>
      </c>
      <c r="E3" t="s">
        <v>18</v>
      </c>
      <c r="F3" t="s">
        <v>13</v>
      </c>
      <c r="G3" s="6">
        <v>44659</v>
      </c>
      <c r="H3" s="18">
        <v>65000</v>
      </c>
      <c r="I3" t="s">
        <v>111</v>
      </c>
    </row>
    <row r="4" spans="1:9" x14ac:dyDescent="0.25">
      <c r="A4" t="s">
        <v>19</v>
      </c>
      <c r="B4" t="s">
        <v>20</v>
      </c>
      <c r="C4" t="s">
        <v>21</v>
      </c>
      <c r="D4" t="s">
        <v>11</v>
      </c>
      <c r="E4" t="s">
        <v>22</v>
      </c>
      <c r="F4" t="s">
        <v>23</v>
      </c>
      <c r="G4" s="6">
        <v>45372</v>
      </c>
      <c r="H4" s="18">
        <v>38000</v>
      </c>
      <c r="I4" t="s">
        <v>110</v>
      </c>
    </row>
    <row r="5" spans="1:9" x14ac:dyDescent="0.25">
      <c r="A5" t="s">
        <v>24</v>
      </c>
      <c r="B5" t="s">
        <v>25</v>
      </c>
      <c r="C5" t="s">
        <v>26</v>
      </c>
      <c r="D5" t="s">
        <v>17</v>
      </c>
      <c r="E5" t="s">
        <v>12</v>
      </c>
      <c r="F5" t="s">
        <v>27</v>
      </c>
      <c r="G5" s="6">
        <v>45667</v>
      </c>
      <c r="H5" s="18">
        <v>52000</v>
      </c>
      <c r="I5" t="s">
        <v>112</v>
      </c>
    </row>
    <row r="6" spans="1:9" x14ac:dyDescent="0.25">
      <c r="A6" t="s">
        <v>28</v>
      </c>
      <c r="B6" t="s">
        <v>29</v>
      </c>
      <c r="C6" t="s">
        <v>30</v>
      </c>
      <c r="D6" t="s">
        <v>11</v>
      </c>
      <c r="E6" t="s">
        <v>31</v>
      </c>
      <c r="F6" t="s">
        <v>13</v>
      </c>
      <c r="G6" s="6">
        <v>44969</v>
      </c>
      <c r="H6" s="18">
        <v>48000</v>
      </c>
      <c r="I6" t="s">
        <v>113</v>
      </c>
    </row>
    <row r="7" spans="1:9" x14ac:dyDescent="0.25">
      <c r="A7" t="s">
        <v>32</v>
      </c>
      <c r="B7" t="s">
        <v>33</v>
      </c>
      <c r="C7" t="s">
        <v>34</v>
      </c>
      <c r="D7" t="s">
        <v>17</v>
      </c>
      <c r="E7" t="s">
        <v>18</v>
      </c>
      <c r="F7" t="s">
        <v>13</v>
      </c>
      <c r="G7" s="6">
        <v>45376</v>
      </c>
      <c r="H7" s="18">
        <v>72000</v>
      </c>
      <c r="I7" t="s">
        <v>110</v>
      </c>
    </row>
    <row r="8" spans="1:9" x14ac:dyDescent="0.25">
      <c r="A8" t="s">
        <v>35</v>
      </c>
      <c r="B8" t="s">
        <v>36</v>
      </c>
      <c r="C8" t="s">
        <v>37</v>
      </c>
      <c r="D8" t="s">
        <v>11</v>
      </c>
      <c r="E8" t="s">
        <v>22</v>
      </c>
      <c r="F8" t="s">
        <v>13</v>
      </c>
      <c r="G8" s="6">
        <v>44365</v>
      </c>
      <c r="H8" s="18">
        <v>58000</v>
      </c>
      <c r="I8" t="s">
        <v>114</v>
      </c>
    </row>
    <row r="9" spans="1:9" x14ac:dyDescent="0.25">
      <c r="A9" t="s">
        <v>38</v>
      </c>
      <c r="B9" t="s">
        <v>39</v>
      </c>
      <c r="C9" t="s">
        <v>40</v>
      </c>
      <c r="D9" t="s">
        <v>17</v>
      </c>
      <c r="E9" t="s">
        <v>31</v>
      </c>
      <c r="F9" t="s">
        <v>23</v>
      </c>
      <c r="G9" s="6">
        <v>45721</v>
      </c>
      <c r="H9" s="18">
        <v>41000</v>
      </c>
      <c r="I9" t="s">
        <v>110</v>
      </c>
    </row>
    <row r="10" spans="1:9" x14ac:dyDescent="0.25">
      <c r="A10" t="s">
        <v>41</v>
      </c>
      <c r="B10" t="s">
        <v>42</v>
      </c>
      <c r="C10" t="s">
        <v>43</v>
      </c>
      <c r="D10" t="s">
        <v>11</v>
      </c>
      <c r="E10" t="s">
        <v>18</v>
      </c>
      <c r="F10" t="s">
        <v>27</v>
      </c>
      <c r="G10" s="6">
        <v>45118</v>
      </c>
      <c r="H10" s="18">
        <v>60000</v>
      </c>
      <c r="I10" t="s">
        <v>115</v>
      </c>
    </row>
    <row r="11" spans="1:9" x14ac:dyDescent="0.25">
      <c r="A11" t="s">
        <v>44</v>
      </c>
      <c r="B11" t="s">
        <v>45</v>
      </c>
      <c r="C11" t="s">
        <v>46</v>
      </c>
      <c r="D11" t="s">
        <v>17</v>
      </c>
      <c r="E11" t="s">
        <v>12</v>
      </c>
      <c r="F11" t="s">
        <v>13</v>
      </c>
      <c r="G11" s="6">
        <v>44795</v>
      </c>
      <c r="H11" s="18">
        <v>55000</v>
      </c>
      <c r="I11" t="s">
        <v>116</v>
      </c>
    </row>
    <row r="12" spans="1:9" x14ac:dyDescent="0.25">
      <c r="A12" t="s">
        <v>47</v>
      </c>
      <c r="B12" t="s">
        <v>48</v>
      </c>
      <c r="C12" t="s">
        <v>16</v>
      </c>
      <c r="D12" t="s">
        <v>11</v>
      </c>
      <c r="E12" t="s">
        <v>31</v>
      </c>
      <c r="F12" t="s">
        <v>13</v>
      </c>
      <c r="G12" s="6">
        <v>45365</v>
      </c>
      <c r="H12" s="18">
        <v>50000</v>
      </c>
      <c r="I12" t="s">
        <v>110</v>
      </c>
    </row>
    <row r="13" spans="1:9" x14ac:dyDescent="0.25">
      <c r="A13" t="s">
        <v>49</v>
      </c>
      <c r="B13" t="s">
        <v>50</v>
      </c>
      <c r="C13" t="s">
        <v>21</v>
      </c>
      <c r="D13" t="s">
        <v>17</v>
      </c>
      <c r="E13" t="s">
        <v>22</v>
      </c>
      <c r="F13" t="s">
        <v>13</v>
      </c>
      <c r="G13" s="6">
        <v>45178</v>
      </c>
      <c r="H13" s="18">
        <v>62000</v>
      </c>
      <c r="I13" t="s">
        <v>117</v>
      </c>
    </row>
    <row r="14" spans="1:9" x14ac:dyDescent="0.25">
      <c r="A14" t="s">
        <v>51</v>
      </c>
      <c r="B14" t="s">
        <v>52</v>
      </c>
      <c r="C14" t="s">
        <v>26</v>
      </c>
      <c r="D14" t="s">
        <v>11</v>
      </c>
      <c r="E14" t="s">
        <v>12</v>
      </c>
      <c r="F14" t="s">
        <v>23</v>
      </c>
      <c r="G14" s="6">
        <v>45674</v>
      </c>
      <c r="H14" s="18">
        <v>35000</v>
      </c>
      <c r="I14" t="s">
        <v>112</v>
      </c>
    </row>
    <row r="15" spans="1:9" x14ac:dyDescent="0.25">
      <c r="A15" t="s">
        <v>53</v>
      </c>
      <c r="B15" t="s">
        <v>54</v>
      </c>
      <c r="C15" t="s">
        <v>55</v>
      </c>
      <c r="D15" t="s">
        <v>17</v>
      </c>
      <c r="E15" t="s">
        <v>18</v>
      </c>
      <c r="F15" t="s">
        <v>13</v>
      </c>
      <c r="G15" s="6">
        <v>44988</v>
      </c>
      <c r="H15" s="18">
        <v>68000</v>
      </c>
      <c r="I15" t="s">
        <v>110</v>
      </c>
    </row>
    <row r="16" spans="1:9" x14ac:dyDescent="0.25">
      <c r="A16" t="s">
        <v>56</v>
      </c>
      <c r="B16" t="s">
        <v>57</v>
      </c>
      <c r="C16" t="s">
        <v>10</v>
      </c>
      <c r="D16" t="s">
        <v>11</v>
      </c>
      <c r="E16" t="s">
        <v>22</v>
      </c>
      <c r="F16" t="s">
        <v>27</v>
      </c>
      <c r="G16" s="6">
        <v>44862</v>
      </c>
      <c r="H16" s="18">
        <v>47000</v>
      </c>
      <c r="I16" t="s">
        <v>118</v>
      </c>
    </row>
    <row r="17" spans="1:9" x14ac:dyDescent="0.25">
      <c r="A17" t="s">
        <v>58</v>
      </c>
      <c r="B17" t="s">
        <v>59</v>
      </c>
      <c r="C17" t="s">
        <v>30</v>
      </c>
      <c r="D17" t="s">
        <v>17</v>
      </c>
      <c r="E17" t="s">
        <v>31</v>
      </c>
      <c r="F17" t="s">
        <v>13</v>
      </c>
      <c r="G17" s="6">
        <v>45367</v>
      </c>
      <c r="H17" s="18">
        <v>53000</v>
      </c>
      <c r="I17" t="s">
        <v>110</v>
      </c>
    </row>
    <row r="18" spans="1:9" x14ac:dyDescent="0.25">
      <c r="A18" t="s">
        <v>60</v>
      </c>
      <c r="B18" t="s">
        <v>61</v>
      </c>
      <c r="C18" t="s">
        <v>62</v>
      </c>
      <c r="D18" t="s">
        <v>11</v>
      </c>
      <c r="E18" t="s">
        <v>18</v>
      </c>
      <c r="F18" t="s">
        <v>13</v>
      </c>
      <c r="G18" s="6">
        <v>44323</v>
      </c>
      <c r="H18" s="18">
        <v>75000</v>
      </c>
      <c r="I18" t="s">
        <v>119</v>
      </c>
    </row>
    <row r="19" spans="1:9" x14ac:dyDescent="0.25">
      <c r="A19" t="s">
        <v>63</v>
      </c>
      <c r="B19" t="s">
        <v>64</v>
      </c>
      <c r="C19" t="s">
        <v>65</v>
      </c>
      <c r="D19" t="s">
        <v>17</v>
      </c>
      <c r="E19" t="s">
        <v>12</v>
      </c>
      <c r="F19" t="s">
        <v>13</v>
      </c>
      <c r="G19" s="6">
        <v>45279</v>
      </c>
      <c r="H19" s="18">
        <v>49000</v>
      </c>
      <c r="I19" t="s">
        <v>120</v>
      </c>
    </row>
    <row r="20" spans="1:9" x14ac:dyDescent="0.25">
      <c r="A20" t="s">
        <v>66</v>
      </c>
      <c r="B20" t="s">
        <v>67</v>
      </c>
      <c r="C20" t="s">
        <v>68</v>
      </c>
      <c r="D20" t="s">
        <v>11</v>
      </c>
      <c r="E20" t="s">
        <v>31</v>
      </c>
      <c r="F20" t="s">
        <v>23</v>
      </c>
      <c r="G20" s="6">
        <v>45739</v>
      </c>
      <c r="H20" s="18">
        <v>39000</v>
      </c>
      <c r="I20" t="s">
        <v>110</v>
      </c>
    </row>
    <row r="21" spans="1:9" x14ac:dyDescent="0.25">
      <c r="A21" t="s">
        <v>69</v>
      </c>
      <c r="B21" t="s">
        <v>70</v>
      </c>
      <c r="C21" t="s">
        <v>71</v>
      </c>
      <c r="D21" t="s">
        <v>17</v>
      </c>
      <c r="E21" t="s">
        <v>22</v>
      </c>
      <c r="F21" t="s">
        <v>13</v>
      </c>
      <c r="G21" s="6">
        <v>45352</v>
      </c>
      <c r="H21" s="18">
        <v>59000</v>
      </c>
      <c r="I21" t="s">
        <v>110</v>
      </c>
    </row>
    <row r="22" spans="1:9" x14ac:dyDescent="0.25">
      <c r="A22" t="s">
        <v>72</v>
      </c>
      <c r="B22" t="s">
        <v>73</v>
      </c>
      <c r="C22" t="s">
        <v>74</v>
      </c>
      <c r="D22" t="s">
        <v>11</v>
      </c>
      <c r="E22" t="s">
        <v>12</v>
      </c>
      <c r="F22" t="s">
        <v>27</v>
      </c>
      <c r="G22" s="6">
        <v>44875</v>
      </c>
      <c r="H22" s="18">
        <v>46000</v>
      </c>
      <c r="I22" t="s">
        <v>121</v>
      </c>
    </row>
    <row r="23" spans="1:9" x14ac:dyDescent="0.25">
      <c r="A23" t="s">
        <v>75</v>
      </c>
      <c r="B23" t="s">
        <v>76</v>
      </c>
      <c r="C23" t="s">
        <v>77</v>
      </c>
      <c r="D23" t="s">
        <v>17</v>
      </c>
      <c r="E23" t="s">
        <v>18</v>
      </c>
      <c r="F23" t="s">
        <v>13</v>
      </c>
      <c r="G23" s="6">
        <v>45731</v>
      </c>
      <c r="H23" s="18">
        <v>70000</v>
      </c>
      <c r="I23" t="s">
        <v>110</v>
      </c>
    </row>
    <row r="24" spans="1:9" x14ac:dyDescent="0.25">
      <c r="A24" t="s">
        <v>78</v>
      </c>
      <c r="B24" t="s">
        <v>79</v>
      </c>
      <c r="C24" t="s">
        <v>30</v>
      </c>
      <c r="D24" t="s">
        <v>11</v>
      </c>
      <c r="E24" t="s">
        <v>31</v>
      </c>
      <c r="F24" t="s">
        <v>13</v>
      </c>
      <c r="G24" s="6">
        <v>44977</v>
      </c>
      <c r="H24" s="18">
        <v>51000</v>
      </c>
      <c r="I24" t="s">
        <v>113</v>
      </c>
    </row>
    <row r="25" spans="1:9" x14ac:dyDescent="0.25">
      <c r="A25" t="s">
        <v>80</v>
      </c>
      <c r="B25" t="s">
        <v>81</v>
      </c>
      <c r="C25" t="s">
        <v>82</v>
      </c>
      <c r="D25" t="s">
        <v>17</v>
      </c>
      <c r="E25" t="s">
        <v>22</v>
      </c>
      <c r="F25" t="s">
        <v>23</v>
      </c>
      <c r="G25" s="6">
        <v>45722</v>
      </c>
      <c r="H25" s="18">
        <v>42000</v>
      </c>
      <c r="I25" t="s">
        <v>110</v>
      </c>
    </row>
    <row r="26" spans="1:9" x14ac:dyDescent="0.25">
      <c r="A26" t="s">
        <v>83</v>
      </c>
      <c r="B26" t="s">
        <v>84</v>
      </c>
      <c r="C26" t="s">
        <v>85</v>
      </c>
      <c r="D26" t="s">
        <v>11</v>
      </c>
      <c r="E26" t="s">
        <v>18</v>
      </c>
      <c r="F26" t="s">
        <v>13</v>
      </c>
      <c r="G26" s="6">
        <v>45304</v>
      </c>
      <c r="H26" s="18">
        <v>66000</v>
      </c>
      <c r="I26" t="s">
        <v>112</v>
      </c>
    </row>
    <row r="27" spans="1:9" x14ac:dyDescent="0.25">
      <c r="A27" t="s">
        <v>86</v>
      </c>
      <c r="B27" t="s">
        <v>87</v>
      </c>
      <c r="C27" t="s">
        <v>88</v>
      </c>
      <c r="D27" t="s">
        <v>17</v>
      </c>
      <c r="E27" t="s">
        <v>12</v>
      </c>
      <c r="F27" t="s">
        <v>13</v>
      </c>
      <c r="G27" s="6">
        <v>45009</v>
      </c>
      <c r="H27" s="18">
        <v>57000</v>
      </c>
      <c r="I27" t="s">
        <v>110</v>
      </c>
    </row>
    <row r="28" spans="1:9" x14ac:dyDescent="0.25">
      <c r="A28" t="s">
        <v>89</v>
      </c>
      <c r="B28" t="s">
        <v>90</v>
      </c>
      <c r="C28" t="s">
        <v>91</v>
      </c>
      <c r="D28" t="s">
        <v>11</v>
      </c>
      <c r="E28" t="s">
        <v>22</v>
      </c>
      <c r="F28" t="s">
        <v>13</v>
      </c>
      <c r="G28" s="6">
        <v>44760</v>
      </c>
      <c r="H28" s="18">
        <v>61000</v>
      </c>
      <c r="I28" t="s">
        <v>115</v>
      </c>
    </row>
    <row r="29" spans="1:9" x14ac:dyDescent="0.25">
      <c r="A29" t="s">
        <v>92</v>
      </c>
      <c r="B29" t="s">
        <v>93</v>
      </c>
      <c r="C29" t="s">
        <v>94</v>
      </c>
      <c r="D29" t="s">
        <v>17</v>
      </c>
      <c r="E29" t="s">
        <v>31</v>
      </c>
      <c r="F29" t="s">
        <v>27</v>
      </c>
      <c r="G29" s="6">
        <v>45360</v>
      </c>
      <c r="H29" s="18">
        <v>45000</v>
      </c>
      <c r="I29" t="s">
        <v>110</v>
      </c>
    </row>
    <row r="30" spans="1:9" x14ac:dyDescent="0.25">
      <c r="A30" t="s">
        <v>95</v>
      </c>
      <c r="B30" t="s">
        <v>96</v>
      </c>
      <c r="C30" t="s">
        <v>65</v>
      </c>
      <c r="D30" t="s">
        <v>11</v>
      </c>
      <c r="E30" t="s">
        <v>18</v>
      </c>
      <c r="F30" t="s">
        <v>23</v>
      </c>
      <c r="G30" s="6">
        <v>45727</v>
      </c>
      <c r="H30" s="18">
        <v>40000</v>
      </c>
      <c r="I30" t="s">
        <v>110</v>
      </c>
    </row>
    <row r="31" spans="1:9" x14ac:dyDescent="0.25">
      <c r="A31" t="s">
        <v>97</v>
      </c>
      <c r="B31" t="s">
        <v>98</v>
      </c>
      <c r="C31" t="s">
        <v>16</v>
      </c>
      <c r="D31" t="s">
        <v>17</v>
      </c>
      <c r="E31" t="s">
        <v>12</v>
      </c>
      <c r="F31" t="s">
        <v>13</v>
      </c>
      <c r="G31" s="6">
        <v>44374</v>
      </c>
      <c r="H31" s="18">
        <v>54000</v>
      </c>
      <c r="I31" t="s">
        <v>114</v>
      </c>
    </row>
    <row r="32" spans="1:9" x14ac:dyDescent="0.25">
      <c r="A32" t="s">
        <v>122</v>
      </c>
      <c r="B32" t="s">
        <v>123</v>
      </c>
      <c r="C32" t="s">
        <v>34</v>
      </c>
      <c r="D32" t="s">
        <v>11</v>
      </c>
      <c r="E32" t="s">
        <v>18</v>
      </c>
      <c r="F32" t="s">
        <v>13</v>
      </c>
      <c r="G32" s="6">
        <v>46270</v>
      </c>
      <c r="H32" s="18">
        <v>62000</v>
      </c>
      <c r="I32" t="s">
        <v>117</v>
      </c>
    </row>
    <row r="33" spans="1:9" x14ac:dyDescent="0.25">
      <c r="A33" t="s">
        <v>124</v>
      </c>
      <c r="B33" t="s">
        <v>125</v>
      </c>
      <c r="C33" t="s">
        <v>126</v>
      </c>
      <c r="D33" t="s">
        <v>17</v>
      </c>
      <c r="E33" t="s">
        <v>12</v>
      </c>
      <c r="F33" t="s">
        <v>13</v>
      </c>
      <c r="G33" s="6">
        <v>46277</v>
      </c>
      <c r="H33" s="18">
        <v>56000</v>
      </c>
      <c r="I33" t="s">
        <v>117</v>
      </c>
    </row>
    <row r="34" spans="1:9" x14ac:dyDescent="0.25">
      <c r="A34" t="s">
        <v>127</v>
      </c>
      <c r="B34" t="s">
        <v>67</v>
      </c>
      <c r="C34" t="s">
        <v>94</v>
      </c>
      <c r="D34" t="s">
        <v>11</v>
      </c>
      <c r="E34" t="s">
        <v>22</v>
      </c>
      <c r="F34" t="s">
        <v>13</v>
      </c>
      <c r="G34" s="6">
        <v>46283</v>
      </c>
      <c r="H34" s="18">
        <v>60000</v>
      </c>
      <c r="I34" t="s">
        <v>117</v>
      </c>
    </row>
    <row r="35" spans="1:9" x14ac:dyDescent="0.25">
      <c r="A35" t="s">
        <v>128</v>
      </c>
      <c r="B35" t="s">
        <v>129</v>
      </c>
      <c r="C35" t="s">
        <v>40</v>
      </c>
      <c r="D35" t="s">
        <v>17</v>
      </c>
      <c r="E35" t="s">
        <v>31</v>
      </c>
      <c r="F35" t="s">
        <v>23</v>
      </c>
      <c r="G35" s="6">
        <v>46285</v>
      </c>
      <c r="H35" s="18">
        <v>43000</v>
      </c>
      <c r="I35" t="s">
        <v>117</v>
      </c>
    </row>
    <row r="36" spans="1:9" x14ac:dyDescent="0.25">
      <c r="A36" t="s">
        <v>130</v>
      </c>
      <c r="B36" t="s">
        <v>131</v>
      </c>
      <c r="C36" t="s">
        <v>65</v>
      </c>
      <c r="D36" t="s">
        <v>11</v>
      </c>
      <c r="E36" t="s">
        <v>18</v>
      </c>
      <c r="F36" t="s">
        <v>27</v>
      </c>
      <c r="G36" s="6">
        <v>46290</v>
      </c>
      <c r="H36" s="18">
        <v>58000</v>
      </c>
      <c r="I36" t="s">
        <v>117</v>
      </c>
    </row>
    <row r="37" spans="1:9" x14ac:dyDescent="0.25">
      <c r="A37" t="s">
        <v>147</v>
      </c>
      <c r="B37" t="s">
        <v>96</v>
      </c>
      <c r="C37" t="s">
        <v>149</v>
      </c>
      <c r="D37" t="s">
        <v>11</v>
      </c>
      <c r="E37" t="s">
        <v>18</v>
      </c>
      <c r="F37" t="s">
        <v>23</v>
      </c>
      <c r="G37" s="6">
        <v>46285</v>
      </c>
      <c r="H37" s="18">
        <v>65000</v>
      </c>
      <c r="I37" t="s">
        <v>117</v>
      </c>
    </row>
    <row r="38" spans="1:9" x14ac:dyDescent="0.25">
      <c r="A38" t="s">
        <v>148</v>
      </c>
      <c r="B38" t="s">
        <v>150</v>
      </c>
      <c r="C38" t="s">
        <v>21</v>
      </c>
      <c r="D38" t="s">
        <v>17</v>
      </c>
      <c r="E38" t="s">
        <v>12</v>
      </c>
      <c r="F38" t="s">
        <v>13</v>
      </c>
      <c r="G38" s="6">
        <v>45304</v>
      </c>
      <c r="H38" s="18">
        <v>52000</v>
      </c>
      <c r="I38" t="s">
        <v>112</v>
      </c>
    </row>
    <row r="39" spans="1:9" x14ac:dyDescent="0.25">
      <c r="A39" t="s">
        <v>153</v>
      </c>
      <c r="B39" t="s">
        <v>151</v>
      </c>
      <c r="C39" t="s">
        <v>152</v>
      </c>
      <c r="D39" t="s">
        <v>11</v>
      </c>
      <c r="E39" t="s">
        <v>22</v>
      </c>
      <c r="F39" t="s">
        <v>27</v>
      </c>
      <c r="G39" s="6">
        <v>44323</v>
      </c>
      <c r="H39" s="18">
        <v>47000</v>
      </c>
      <c r="I39" t="s">
        <v>119</v>
      </c>
    </row>
    <row r="40" spans="1:9" x14ac:dyDescent="0.25">
      <c r="A40" t="s">
        <v>163</v>
      </c>
      <c r="B40" t="s">
        <v>9</v>
      </c>
      <c r="C40" t="s">
        <v>10</v>
      </c>
      <c r="D40" t="s">
        <v>11</v>
      </c>
      <c r="E40" t="s">
        <v>31</v>
      </c>
      <c r="F40" t="s">
        <v>23</v>
      </c>
      <c r="G40" s="6">
        <v>45731</v>
      </c>
      <c r="H40" s="18">
        <v>58000</v>
      </c>
      <c r="I40" t="s">
        <v>110</v>
      </c>
    </row>
    <row r="41" spans="1:9" x14ac:dyDescent="0.25">
      <c r="A41" t="s">
        <v>164</v>
      </c>
      <c r="B41" t="s">
        <v>15</v>
      </c>
      <c r="C41" t="s">
        <v>21</v>
      </c>
      <c r="D41" t="s">
        <v>17</v>
      </c>
      <c r="E41" t="s">
        <v>154</v>
      </c>
      <c r="F41" t="s">
        <v>13</v>
      </c>
      <c r="G41" s="6">
        <v>45498</v>
      </c>
      <c r="H41" s="18">
        <v>25500</v>
      </c>
      <c r="I41" t="s">
        <v>115</v>
      </c>
    </row>
    <row r="42" spans="1:9" x14ac:dyDescent="0.25">
      <c r="A42" t="s">
        <v>155</v>
      </c>
      <c r="B42" t="s">
        <v>156</v>
      </c>
      <c r="C42" t="s">
        <v>157</v>
      </c>
      <c r="D42" t="s">
        <v>158</v>
      </c>
      <c r="E42" t="s">
        <v>154</v>
      </c>
      <c r="F42" t="s">
        <v>13</v>
      </c>
      <c r="G42" s="6">
        <v>46023</v>
      </c>
      <c r="H42" s="18">
        <v>50000</v>
      </c>
      <c r="I42" t="s">
        <v>112</v>
      </c>
    </row>
    <row r="43" spans="1:9" x14ac:dyDescent="0.25">
      <c r="A43" s="8" t="s">
        <v>159</v>
      </c>
      <c r="B43" s="8" t="s">
        <v>42</v>
      </c>
      <c r="C43" s="8" t="s">
        <v>34</v>
      </c>
      <c r="D43" s="8" t="s">
        <v>11</v>
      </c>
      <c r="E43" s="8" t="s">
        <v>154</v>
      </c>
      <c r="F43" s="8" t="s">
        <v>13</v>
      </c>
      <c r="G43" s="20">
        <v>46284</v>
      </c>
      <c r="H43" s="21">
        <v>60000</v>
      </c>
      <c r="I43" t="s">
        <v>117</v>
      </c>
    </row>
    <row r="44" spans="1:9" x14ac:dyDescent="0.25">
      <c r="A44" t="s">
        <v>160</v>
      </c>
      <c r="B44" t="s">
        <v>25</v>
      </c>
      <c r="C44" t="s">
        <v>16</v>
      </c>
      <c r="D44" t="s">
        <v>17</v>
      </c>
      <c r="E44" t="s">
        <v>12</v>
      </c>
      <c r="F44" t="s">
        <v>13</v>
      </c>
      <c r="G44" s="6">
        <v>46285</v>
      </c>
      <c r="H44" s="18">
        <v>58000</v>
      </c>
      <c r="I44" t="s">
        <v>117</v>
      </c>
    </row>
    <row r="45" spans="1:9" x14ac:dyDescent="0.25">
      <c r="A45" t="s">
        <v>161</v>
      </c>
      <c r="B45" t="s">
        <v>20</v>
      </c>
      <c r="C45" t="s">
        <v>26</v>
      </c>
      <c r="D45" t="s">
        <v>11</v>
      </c>
      <c r="E45" t="s">
        <v>18</v>
      </c>
      <c r="F45" t="s">
        <v>23</v>
      </c>
      <c r="G45" s="6">
        <v>46300</v>
      </c>
      <c r="H45" s="18">
        <v>42000</v>
      </c>
      <c r="I45" t="s">
        <v>118</v>
      </c>
    </row>
    <row r="46" spans="1:9" x14ac:dyDescent="0.25">
      <c r="A46" t="s">
        <v>162</v>
      </c>
      <c r="B46" t="s">
        <v>39</v>
      </c>
      <c r="C46" t="s">
        <v>21</v>
      </c>
      <c r="D46" t="s">
        <v>17</v>
      </c>
      <c r="E46" t="s">
        <v>154</v>
      </c>
      <c r="F46" t="s">
        <v>27</v>
      </c>
      <c r="G46" s="6">
        <v>46307</v>
      </c>
      <c r="H46" s="18">
        <v>51000</v>
      </c>
      <c r="I46" t="s">
        <v>118</v>
      </c>
    </row>
    <row r="47" spans="1:9" x14ac:dyDescent="0.25">
      <c r="A47" t="s">
        <v>167</v>
      </c>
      <c r="B47" t="s">
        <v>165</v>
      </c>
      <c r="C47" t="s">
        <v>166</v>
      </c>
      <c r="D47" t="s">
        <v>17</v>
      </c>
      <c r="E47" t="s">
        <v>154</v>
      </c>
      <c r="F47" t="s">
        <v>23</v>
      </c>
      <c r="G47" s="6">
        <v>45865</v>
      </c>
      <c r="H47" s="18">
        <v>80000</v>
      </c>
      <c r="I47" t="s">
        <v>115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12A4E-EBE5-4DDB-8776-4F9F0BD43B74}">
  <sheetPr codeName="Sheet8"/>
  <dimension ref="A1:H47"/>
  <sheetViews>
    <sheetView topLeftCell="A31" zoomScale="98" zoomScaleNormal="98" workbookViewId="0">
      <selection activeCell="A49" sqref="A49"/>
    </sheetView>
  </sheetViews>
  <sheetFormatPr defaultRowHeight="15" x14ac:dyDescent="0.25"/>
  <cols>
    <col min="1" max="1" width="14.28515625" customWidth="1"/>
    <col min="2" max="2" width="12.7109375" customWidth="1"/>
    <col min="3" max="3" width="12.28515625" customWidth="1"/>
    <col min="4" max="4" width="9.85546875" customWidth="1"/>
    <col min="5" max="5" width="13.85546875" customWidth="1"/>
    <col min="6" max="6" width="19.140625" customWidth="1"/>
    <col min="7" max="7" width="14" customWidth="1"/>
    <col min="8" max="8" width="8.42578125" customWidth="1"/>
  </cols>
  <sheetData>
    <row r="1" spans="1:8" x14ac:dyDescent="0.25">
      <c r="A1" t="s">
        <v>0</v>
      </c>
      <c r="B1" t="s">
        <v>1</v>
      </c>
      <c r="C1" t="s">
        <v>2</v>
      </c>
      <c r="D1" t="s">
        <v>3</v>
      </c>
      <c r="E1" t="s">
        <v>4</v>
      </c>
      <c r="F1" t="s">
        <v>5</v>
      </c>
      <c r="G1" t="s">
        <v>6</v>
      </c>
      <c r="H1" t="s">
        <v>7</v>
      </c>
    </row>
    <row r="2" spans="1:8" x14ac:dyDescent="0.25">
      <c r="A2" t="s">
        <v>8</v>
      </c>
      <c r="B2" t="s">
        <v>9</v>
      </c>
      <c r="C2" t="s">
        <v>10</v>
      </c>
      <c r="D2" t="s">
        <v>11</v>
      </c>
      <c r="E2" t="s">
        <v>12</v>
      </c>
      <c r="F2" t="s">
        <v>132</v>
      </c>
      <c r="G2" s="1">
        <v>45000</v>
      </c>
      <c r="H2">
        <v>45000</v>
      </c>
    </row>
    <row r="3" spans="1:8" x14ac:dyDescent="0.25">
      <c r="A3" t="s">
        <v>14</v>
      </c>
      <c r="B3" t="s">
        <v>15</v>
      </c>
      <c r="C3" t="s">
        <v>16</v>
      </c>
      <c r="D3" t="s">
        <v>17</v>
      </c>
      <c r="E3" t="s">
        <v>18</v>
      </c>
      <c r="F3" t="s">
        <v>13</v>
      </c>
      <c r="G3" s="1">
        <v>44659</v>
      </c>
      <c r="H3">
        <v>65000</v>
      </c>
    </row>
    <row r="4" spans="1:8" x14ac:dyDescent="0.25">
      <c r="A4" t="s">
        <v>19</v>
      </c>
      <c r="B4" t="s">
        <v>20</v>
      </c>
      <c r="C4" t="s">
        <v>21</v>
      </c>
      <c r="D4" t="s">
        <v>11</v>
      </c>
      <c r="E4" t="s">
        <v>22</v>
      </c>
      <c r="F4" t="s">
        <v>23</v>
      </c>
      <c r="G4" s="1">
        <v>45372</v>
      </c>
      <c r="H4">
        <v>38000</v>
      </c>
    </row>
    <row r="5" spans="1:8" x14ac:dyDescent="0.25">
      <c r="A5" t="s">
        <v>24</v>
      </c>
      <c r="B5" t="s">
        <v>25</v>
      </c>
      <c r="C5" t="s">
        <v>26</v>
      </c>
      <c r="D5" t="s">
        <v>17</v>
      </c>
      <c r="E5" t="s">
        <v>12</v>
      </c>
      <c r="F5" t="s">
        <v>27</v>
      </c>
      <c r="G5" s="1">
        <v>45667</v>
      </c>
      <c r="H5">
        <v>52000</v>
      </c>
    </row>
    <row r="6" spans="1:8" x14ac:dyDescent="0.25">
      <c r="A6" t="s">
        <v>28</v>
      </c>
      <c r="B6" t="s">
        <v>29</v>
      </c>
      <c r="C6" t="s">
        <v>30</v>
      </c>
      <c r="D6" t="s">
        <v>11</v>
      </c>
      <c r="E6" t="s">
        <v>31</v>
      </c>
      <c r="F6" t="s">
        <v>13</v>
      </c>
      <c r="G6" s="1">
        <v>44969</v>
      </c>
      <c r="H6">
        <v>48000</v>
      </c>
    </row>
    <row r="7" spans="1:8" x14ac:dyDescent="0.25">
      <c r="A7" t="s">
        <v>32</v>
      </c>
      <c r="B7" t="s">
        <v>33</v>
      </c>
      <c r="C7" t="s">
        <v>34</v>
      </c>
      <c r="D7" t="s">
        <v>17</v>
      </c>
      <c r="E7" t="s">
        <v>18</v>
      </c>
      <c r="F7" t="s">
        <v>13</v>
      </c>
      <c r="G7" s="1">
        <v>45376</v>
      </c>
      <c r="H7">
        <v>72000</v>
      </c>
    </row>
    <row r="8" spans="1:8" x14ac:dyDescent="0.25">
      <c r="A8" t="s">
        <v>35</v>
      </c>
      <c r="B8" t="s">
        <v>36</v>
      </c>
      <c r="C8" t="s">
        <v>37</v>
      </c>
      <c r="D8" t="s">
        <v>11</v>
      </c>
      <c r="E8" t="s">
        <v>22</v>
      </c>
      <c r="F8" t="s">
        <v>133</v>
      </c>
      <c r="G8" s="1">
        <v>44365</v>
      </c>
      <c r="H8">
        <v>58000</v>
      </c>
    </row>
    <row r="9" spans="1:8" x14ac:dyDescent="0.25">
      <c r="A9" t="s">
        <v>38</v>
      </c>
      <c r="B9" t="s">
        <v>39</v>
      </c>
      <c r="C9" t="s">
        <v>40</v>
      </c>
      <c r="D9" t="s">
        <v>17</v>
      </c>
      <c r="E9" t="s">
        <v>31</v>
      </c>
      <c r="F9" t="s">
        <v>23</v>
      </c>
      <c r="G9" s="1">
        <v>45721</v>
      </c>
      <c r="H9">
        <v>41000</v>
      </c>
    </row>
    <row r="10" spans="1:8" x14ac:dyDescent="0.25">
      <c r="A10" t="s">
        <v>41</v>
      </c>
      <c r="B10" t="s">
        <v>42</v>
      </c>
      <c r="C10" t="s">
        <v>43</v>
      </c>
      <c r="D10" t="s">
        <v>11</v>
      </c>
      <c r="E10" t="s">
        <v>18</v>
      </c>
      <c r="F10" t="s">
        <v>27</v>
      </c>
      <c r="G10" s="1">
        <v>45118</v>
      </c>
      <c r="H10">
        <v>60000</v>
      </c>
    </row>
    <row r="11" spans="1:8" x14ac:dyDescent="0.25">
      <c r="A11" t="s">
        <v>44</v>
      </c>
      <c r="B11" t="s">
        <v>45</v>
      </c>
      <c r="C11" t="s">
        <v>46</v>
      </c>
      <c r="D11" t="s">
        <v>17</v>
      </c>
      <c r="E11" t="s">
        <v>12</v>
      </c>
      <c r="F11" t="s">
        <v>13</v>
      </c>
      <c r="G11" s="1">
        <v>44795</v>
      </c>
      <c r="H11">
        <v>55000</v>
      </c>
    </row>
    <row r="12" spans="1:8" x14ac:dyDescent="0.25">
      <c r="A12" t="s">
        <v>47</v>
      </c>
      <c r="B12" t="s">
        <v>48</v>
      </c>
      <c r="C12" t="s">
        <v>16</v>
      </c>
      <c r="D12" t="s">
        <v>11</v>
      </c>
      <c r="E12" t="s">
        <v>31</v>
      </c>
      <c r="F12" t="s">
        <v>134</v>
      </c>
      <c r="G12" s="1">
        <v>45365</v>
      </c>
      <c r="H12">
        <v>50000</v>
      </c>
    </row>
    <row r="13" spans="1:8" x14ac:dyDescent="0.25">
      <c r="A13" t="s">
        <v>49</v>
      </c>
      <c r="B13" t="s">
        <v>50</v>
      </c>
      <c r="C13" t="s">
        <v>21</v>
      </c>
      <c r="D13" t="s">
        <v>17</v>
      </c>
      <c r="E13" t="s">
        <v>22</v>
      </c>
      <c r="F13" t="s">
        <v>13</v>
      </c>
      <c r="G13" s="1">
        <v>45178</v>
      </c>
      <c r="H13">
        <v>62000</v>
      </c>
    </row>
    <row r="14" spans="1:8" x14ac:dyDescent="0.25">
      <c r="A14" t="s">
        <v>51</v>
      </c>
      <c r="B14" t="s">
        <v>52</v>
      </c>
      <c r="C14" t="s">
        <v>26</v>
      </c>
      <c r="D14" t="s">
        <v>11</v>
      </c>
      <c r="E14" t="s">
        <v>12</v>
      </c>
      <c r="F14" t="s">
        <v>23</v>
      </c>
      <c r="G14" s="1">
        <v>45674</v>
      </c>
      <c r="H14">
        <v>35000</v>
      </c>
    </row>
    <row r="15" spans="1:8" x14ac:dyDescent="0.25">
      <c r="A15" t="s">
        <v>53</v>
      </c>
      <c r="B15" t="s">
        <v>54</v>
      </c>
      <c r="C15" t="s">
        <v>55</v>
      </c>
      <c r="D15" t="s">
        <v>17</v>
      </c>
      <c r="E15" t="s">
        <v>18</v>
      </c>
      <c r="F15" t="s">
        <v>13</v>
      </c>
      <c r="G15" s="1">
        <v>44988</v>
      </c>
      <c r="H15">
        <v>68000</v>
      </c>
    </row>
    <row r="16" spans="1:8" x14ac:dyDescent="0.25">
      <c r="A16" t="s">
        <v>56</v>
      </c>
      <c r="B16" t="s">
        <v>57</v>
      </c>
      <c r="C16" t="s">
        <v>10</v>
      </c>
      <c r="D16" t="s">
        <v>11</v>
      </c>
      <c r="E16" t="s">
        <v>22</v>
      </c>
      <c r="F16" t="s">
        <v>27</v>
      </c>
      <c r="G16" s="1">
        <v>44862</v>
      </c>
      <c r="H16">
        <v>47000</v>
      </c>
    </row>
    <row r="17" spans="1:8" x14ac:dyDescent="0.25">
      <c r="A17" t="s">
        <v>58</v>
      </c>
      <c r="B17" t="s">
        <v>59</v>
      </c>
      <c r="C17" t="s">
        <v>30</v>
      </c>
      <c r="D17" t="s">
        <v>17</v>
      </c>
      <c r="E17" t="s">
        <v>31</v>
      </c>
      <c r="F17" t="s">
        <v>13</v>
      </c>
      <c r="G17" s="1">
        <v>45367</v>
      </c>
      <c r="H17">
        <v>53000</v>
      </c>
    </row>
    <row r="18" spans="1:8" x14ac:dyDescent="0.25">
      <c r="A18" t="s">
        <v>60</v>
      </c>
      <c r="B18" t="s">
        <v>61</v>
      </c>
      <c r="C18" t="s">
        <v>62</v>
      </c>
      <c r="D18" t="s">
        <v>11</v>
      </c>
      <c r="E18" t="s">
        <v>18</v>
      </c>
      <c r="F18" t="s">
        <v>13</v>
      </c>
      <c r="G18" s="1">
        <v>44323</v>
      </c>
      <c r="H18">
        <v>75000</v>
      </c>
    </row>
    <row r="19" spans="1:8" x14ac:dyDescent="0.25">
      <c r="A19" t="s">
        <v>63</v>
      </c>
      <c r="B19" t="s">
        <v>64</v>
      </c>
      <c r="C19" t="s">
        <v>65</v>
      </c>
      <c r="D19" t="s">
        <v>17</v>
      </c>
      <c r="E19" t="s">
        <v>12</v>
      </c>
      <c r="F19" t="s">
        <v>13</v>
      </c>
      <c r="G19" s="1">
        <v>45279</v>
      </c>
      <c r="H19">
        <v>49000</v>
      </c>
    </row>
    <row r="20" spans="1:8" x14ac:dyDescent="0.25">
      <c r="A20" t="s">
        <v>66</v>
      </c>
      <c r="B20" t="s">
        <v>67</v>
      </c>
      <c r="C20" t="s">
        <v>68</v>
      </c>
      <c r="D20" t="s">
        <v>11</v>
      </c>
      <c r="E20" t="s">
        <v>31</v>
      </c>
      <c r="F20" t="s">
        <v>23</v>
      </c>
      <c r="G20" s="1">
        <v>45739</v>
      </c>
      <c r="H20">
        <v>39000</v>
      </c>
    </row>
    <row r="21" spans="1:8" x14ac:dyDescent="0.25">
      <c r="A21" t="s">
        <v>69</v>
      </c>
      <c r="B21" t="s">
        <v>70</v>
      </c>
      <c r="C21" t="s">
        <v>71</v>
      </c>
      <c r="D21" t="s">
        <v>17</v>
      </c>
      <c r="E21" t="s">
        <v>22</v>
      </c>
      <c r="F21" t="s">
        <v>13</v>
      </c>
      <c r="G21" s="1">
        <v>45352</v>
      </c>
      <c r="H21">
        <v>59000</v>
      </c>
    </row>
    <row r="22" spans="1:8" x14ac:dyDescent="0.25">
      <c r="A22" t="s">
        <v>72</v>
      </c>
      <c r="B22" t="s">
        <v>73</v>
      </c>
      <c r="C22" t="s">
        <v>74</v>
      </c>
      <c r="D22" t="s">
        <v>11</v>
      </c>
      <c r="E22" t="s">
        <v>12</v>
      </c>
      <c r="F22" t="s">
        <v>27</v>
      </c>
      <c r="G22" s="1">
        <v>44875</v>
      </c>
      <c r="H22">
        <v>46000</v>
      </c>
    </row>
    <row r="23" spans="1:8" x14ac:dyDescent="0.25">
      <c r="A23" t="s">
        <v>75</v>
      </c>
      <c r="B23" t="s">
        <v>76</v>
      </c>
      <c r="C23" t="s">
        <v>77</v>
      </c>
      <c r="D23" t="s">
        <v>17</v>
      </c>
      <c r="E23" t="s">
        <v>18</v>
      </c>
      <c r="F23" t="s">
        <v>13</v>
      </c>
      <c r="G23" s="1">
        <v>45731</v>
      </c>
      <c r="H23">
        <v>70000</v>
      </c>
    </row>
    <row r="24" spans="1:8" x14ac:dyDescent="0.25">
      <c r="A24" t="s">
        <v>78</v>
      </c>
      <c r="B24" t="s">
        <v>79</v>
      </c>
      <c r="C24" t="s">
        <v>30</v>
      </c>
      <c r="D24" t="s">
        <v>11</v>
      </c>
      <c r="E24" t="s">
        <v>31</v>
      </c>
      <c r="F24" t="s">
        <v>13</v>
      </c>
      <c r="G24" s="1">
        <v>44977</v>
      </c>
      <c r="H24">
        <v>51000</v>
      </c>
    </row>
    <row r="25" spans="1:8" x14ac:dyDescent="0.25">
      <c r="A25" t="s">
        <v>80</v>
      </c>
      <c r="B25" t="s">
        <v>81</v>
      </c>
      <c r="C25" t="s">
        <v>82</v>
      </c>
      <c r="D25" t="s">
        <v>17</v>
      </c>
      <c r="E25" t="s">
        <v>22</v>
      </c>
      <c r="F25" t="s">
        <v>23</v>
      </c>
      <c r="G25" s="1">
        <v>45722</v>
      </c>
      <c r="H25">
        <v>42000</v>
      </c>
    </row>
    <row r="26" spans="1:8" x14ac:dyDescent="0.25">
      <c r="A26" t="s">
        <v>83</v>
      </c>
      <c r="B26" t="s">
        <v>84</v>
      </c>
      <c r="C26" t="s">
        <v>85</v>
      </c>
      <c r="D26" t="s">
        <v>11</v>
      </c>
      <c r="E26" t="s">
        <v>18</v>
      </c>
      <c r="F26" t="s">
        <v>13</v>
      </c>
      <c r="G26" s="1">
        <v>45304</v>
      </c>
      <c r="H26">
        <v>66000</v>
      </c>
    </row>
    <row r="27" spans="1:8" x14ac:dyDescent="0.25">
      <c r="A27" t="s">
        <v>86</v>
      </c>
      <c r="B27" t="s">
        <v>87</v>
      </c>
      <c r="C27" t="s">
        <v>88</v>
      </c>
      <c r="D27" t="s">
        <v>17</v>
      </c>
      <c r="E27" t="s">
        <v>12</v>
      </c>
      <c r="F27" t="s">
        <v>13</v>
      </c>
      <c r="G27" s="1">
        <v>45009</v>
      </c>
      <c r="H27">
        <v>57000</v>
      </c>
    </row>
    <row r="28" spans="1:8" x14ac:dyDescent="0.25">
      <c r="A28" t="s">
        <v>89</v>
      </c>
      <c r="B28" t="s">
        <v>90</v>
      </c>
      <c r="C28" t="s">
        <v>91</v>
      </c>
      <c r="D28" t="s">
        <v>11</v>
      </c>
      <c r="E28" t="s">
        <v>22</v>
      </c>
      <c r="F28" t="s">
        <v>13</v>
      </c>
      <c r="G28" s="1">
        <v>44760</v>
      </c>
      <c r="H28">
        <v>61000</v>
      </c>
    </row>
    <row r="29" spans="1:8" x14ac:dyDescent="0.25">
      <c r="A29" t="s">
        <v>92</v>
      </c>
      <c r="B29" t="s">
        <v>93</v>
      </c>
      <c r="C29" t="s">
        <v>94</v>
      </c>
      <c r="D29" t="s">
        <v>17</v>
      </c>
      <c r="E29" t="s">
        <v>31</v>
      </c>
      <c r="F29" t="s">
        <v>27</v>
      </c>
      <c r="G29" s="1">
        <v>45360</v>
      </c>
      <c r="H29">
        <v>45000</v>
      </c>
    </row>
    <row r="30" spans="1:8" x14ac:dyDescent="0.25">
      <c r="A30" t="s">
        <v>95</v>
      </c>
      <c r="B30" t="s">
        <v>96</v>
      </c>
      <c r="C30" t="s">
        <v>65</v>
      </c>
      <c r="D30" t="s">
        <v>11</v>
      </c>
      <c r="E30" t="s">
        <v>18</v>
      </c>
      <c r="F30" t="s">
        <v>23</v>
      </c>
      <c r="G30" s="1">
        <v>45727</v>
      </c>
      <c r="H30">
        <v>40000</v>
      </c>
    </row>
    <row r="31" spans="1:8" x14ac:dyDescent="0.25">
      <c r="A31" t="s">
        <v>97</v>
      </c>
      <c r="B31" t="s">
        <v>98</v>
      </c>
      <c r="C31" t="s">
        <v>16</v>
      </c>
      <c r="D31" t="s">
        <v>17</v>
      </c>
      <c r="E31" t="s">
        <v>12</v>
      </c>
      <c r="F31" t="s">
        <v>13</v>
      </c>
      <c r="G31" s="1">
        <v>44374</v>
      </c>
      <c r="H31">
        <v>54000</v>
      </c>
    </row>
    <row r="32" spans="1:8" x14ac:dyDescent="0.25">
      <c r="A32" s="8" t="s">
        <v>122</v>
      </c>
      <c r="B32" s="8" t="s">
        <v>123</v>
      </c>
      <c r="C32" s="8" t="s">
        <v>34</v>
      </c>
      <c r="D32" s="8" t="s">
        <v>11</v>
      </c>
      <c r="E32" s="8" t="s">
        <v>18</v>
      </c>
      <c r="F32" s="8" t="s">
        <v>13</v>
      </c>
      <c r="G32" s="9">
        <v>46270</v>
      </c>
      <c r="H32" s="7">
        <v>62000</v>
      </c>
    </row>
    <row r="33" spans="1:8" x14ac:dyDescent="0.25">
      <c r="A33" s="8" t="s">
        <v>124</v>
      </c>
      <c r="B33" s="8" t="s">
        <v>125</v>
      </c>
      <c r="C33" s="8" t="s">
        <v>126</v>
      </c>
      <c r="D33" s="8" t="s">
        <v>17</v>
      </c>
      <c r="E33" s="8" t="s">
        <v>12</v>
      </c>
      <c r="F33" s="8" t="s">
        <v>136</v>
      </c>
      <c r="G33" s="9">
        <v>46277</v>
      </c>
      <c r="H33" s="7">
        <v>56000</v>
      </c>
    </row>
    <row r="34" spans="1:8" x14ac:dyDescent="0.25">
      <c r="A34" s="8" t="s">
        <v>127</v>
      </c>
      <c r="B34" s="8" t="s">
        <v>67</v>
      </c>
      <c r="C34" s="8" t="s">
        <v>94</v>
      </c>
      <c r="D34" s="8" t="s">
        <v>11</v>
      </c>
      <c r="E34" s="8" t="s">
        <v>22</v>
      </c>
      <c r="F34" s="8" t="s">
        <v>135</v>
      </c>
      <c r="G34" s="9">
        <v>46283</v>
      </c>
      <c r="H34" s="7">
        <v>60000</v>
      </c>
    </row>
    <row r="35" spans="1:8" x14ac:dyDescent="0.25">
      <c r="A35" s="8" t="s">
        <v>128</v>
      </c>
      <c r="B35" s="8" t="s">
        <v>129</v>
      </c>
      <c r="C35" s="8" t="s">
        <v>40</v>
      </c>
      <c r="D35" s="8" t="s">
        <v>17</v>
      </c>
      <c r="E35" s="8" t="s">
        <v>31</v>
      </c>
      <c r="F35" s="8" t="s">
        <v>23</v>
      </c>
      <c r="G35" s="9">
        <v>46285</v>
      </c>
      <c r="H35" s="7">
        <v>43000</v>
      </c>
    </row>
    <row r="36" spans="1:8" x14ac:dyDescent="0.25">
      <c r="A36" s="8" t="s">
        <v>130</v>
      </c>
      <c r="B36" s="8" t="s">
        <v>131</v>
      </c>
      <c r="C36" s="8" t="s">
        <v>65</v>
      </c>
      <c r="D36" s="8" t="s">
        <v>11</v>
      </c>
      <c r="E36" s="8" t="s">
        <v>18</v>
      </c>
      <c r="F36" s="8" t="s">
        <v>27</v>
      </c>
      <c r="G36" s="9">
        <v>46290</v>
      </c>
      <c r="H36" s="7">
        <v>58000</v>
      </c>
    </row>
    <row r="37" spans="1:8" x14ac:dyDescent="0.25">
      <c r="A37" s="8" t="s">
        <v>147</v>
      </c>
      <c r="B37" t="s">
        <v>96</v>
      </c>
      <c r="C37" t="s">
        <v>149</v>
      </c>
      <c r="D37" t="s">
        <v>11</v>
      </c>
      <c r="E37" t="s">
        <v>18</v>
      </c>
      <c r="F37" t="s">
        <v>23</v>
      </c>
      <c r="G37" s="9">
        <v>46285</v>
      </c>
      <c r="H37">
        <v>65000</v>
      </c>
    </row>
    <row r="38" spans="1:8" x14ac:dyDescent="0.25">
      <c r="A38" s="8" t="s">
        <v>148</v>
      </c>
      <c r="B38" t="s">
        <v>150</v>
      </c>
      <c r="C38" t="s">
        <v>21</v>
      </c>
      <c r="D38" t="s">
        <v>17</v>
      </c>
      <c r="E38" t="s">
        <v>12</v>
      </c>
      <c r="F38" t="s">
        <v>13</v>
      </c>
      <c r="G38" s="1">
        <v>45304</v>
      </c>
      <c r="H38">
        <v>52000</v>
      </c>
    </row>
    <row r="39" spans="1:8" x14ac:dyDescent="0.25">
      <c r="A39" s="8" t="s">
        <v>153</v>
      </c>
      <c r="B39" t="s">
        <v>151</v>
      </c>
      <c r="C39" t="s">
        <v>152</v>
      </c>
      <c r="D39" t="s">
        <v>11</v>
      </c>
      <c r="E39" s="8" t="s">
        <v>22</v>
      </c>
      <c r="F39" t="s">
        <v>27</v>
      </c>
      <c r="G39" s="1">
        <v>44323</v>
      </c>
      <c r="H39">
        <v>47000</v>
      </c>
    </row>
    <row r="40" spans="1:8" x14ac:dyDescent="0.25">
      <c r="A40" s="8" t="s">
        <v>163</v>
      </c>
      <c r="B40" t="s">
        <v>9</v>
      </c>
      <c r="C40" t="s">
        <v>10</v>
      </c>
      <c r="D40" t="s">
        <v>11</v>
      </c>
      <c r="E40" t="s">
        <v>31</v>
      </c>
      <c r="F40" t="s">
        <v>23</v>
      </c>
      <c r="G40" s="1">
        <v>45731</v>
      </c>
      <c r="H40">
        <v>58000</v>
      </c>
    </row>
    <row r="41" spans="1:8" x14ac:dyDescent="0.25">
      <c r="A41" s="8" t="s">
        <v>164</v>
      </c>
      <c r="B41" t="s">
        <v>15</v>
      </c>
      <c r="C41" t="s">
        <v>21</v>
      </c>
      <c r="D41" t="s">
        <v>17</v>
      </c>
      <c r="E41" t="s">
        <v>154</v>
      </c>
      <c r="F41" t="s">
        <v>13</v>
      </c>
      <c r="G41" s="1">
        <v>45498</v>
      </c>
      <c r="H41">
        <v>25500</v>
      </c>
    </row>
    <row r="42" spans="1:8" x14ac:dyDescent="0.25">
      <c r="A42" s="8" t="s">
        <v>155</v>
      </c>
      <c r="B42" t="s">
        <v>156</v>
      </c>
      <c r="C42" t="s">
        <v>157</v>
      </c>
      <c r="D42" t="s">
        <v>158</v>
      </c>
      <c r="E42" t="s">
        <v>154</v>
      </c>
      <c r="F42" t="s">
        <v>13</v>
      </c>
      <c r="G42" s="1">
        <v>46023</v>
      </c>
      <c r="H42">
        <v>50000</v>
      </c>
    </row>
    <row r="43" spans="1:8" x14ac:dyDescent="0.25">
      <c r="A43" s="8" t="s">
        <v>159</v>
      </c>
      <c r="B43" s="8" t="s">
        <v>42</v>
      </c>
      <c r="C43" s="8" t="s">
        <v>34</v>
      </c>
      <c r="D43" s="8" t="s">
        <v>11</v>
      </c>
      <c r="E43" s="8" t="s">
        <v>154</v>
      </c>
      <c r="F43" s="8" t="s">
        <v>13</v>
      </c>
      <c r="G43" s="9">
        <v>46284</v>
      </c>
      <c r="H43" s="7">
        <v>60000</v>
      </c>
    </row>
    <row r="44" spans="1:8" x14ac:dyDescent="0.25">
      <c r="A44" s="8" t="s">
        <v>160</v>
      </c>
      <c r="B44" s="8" t="s">
        <v>25</v>
      </c>
      <c r="C44" s="8" t="s">
        <v>16</v>
      </c>
      <c r="D44" s="8" t="s">
        <v>17</v>
      </c>
      <c r="E44" s="8" t="s">
        <v>12</v>
      </c>
      <c r="F44" s="8" t="s">
        <v>13</v>
      </c>
      <c r="G44" s="9">
        <v>46285</v>
      </c>
      <c r="H44" s="7">
        <v>58000</v>
      </c>
    </row>
    <row r="45" spans="1:8" x14ac:dyDescent="0.25">
      <c r="A45" s="8" t="s">
        <v>161</v>
      </c>
      <c r="B45" s="8" t="s">
        <v>20</v>
      </c>
      <c r="C45" s="8" t="s">
        <v>26</v>
      </c>
      <c r="D45" s="8" t="s">
        <v>11</v>
      </c>
      <c r="E45" s="8" t="s">
        <v>18</v>
      </c>
      <c r="F45" s="8" t="s">
        <v>23</v>
      </c>
      <c r="G45" s="9">
        <v>46300</v>
      </c>
      <c r="H45" s="7">
        <v>42000</v>
      </c>
    </row>
    <row r="46" spans="1:8" x14ac:dyDescent="0.25">
      <c r="A46" s="8" t="s">
        <v>162</v>
      </c>
      <c r="B46" s="8" t="s">
        <v>39</v>
      </c>
      <c r="C46" s="8" t="s">
        <v>21</v>
      </c>
      <c r="D46" s="8" t="s">
        <v>17</v>
      </c>
      <c r="E46" s="8" t="s">
        <v>154</v>
      </c>
      <c r="F46" s="8" t="s">
        <v>27</v>
      </c>
      <c r="G46" s="9">
        <v>46307</v>
      </c>
      <c r="H46" s="7">
        <v>51000</v>
      </c>
    </row>
    <row r="47" spans="1:8" x14ac:dyDescent="0.25">
      <c r="A47" s="8" t="s">
        <v>167</v>
      </c>
      <c r="B47" t="s">
        <v>165</v>
      </c>
      <c r="C47" t="s">
        <v>166</v>
      </c>
      <c r="D47" t="s">
        <v>17</v>
      </c>
      <c r="E47" t="s">
        <v>154</v>
      </c>
      <c r="F47" t="s">
        <v>23</v>
      </c>
      <c r="G47" s="1">
        <v>45865</v>
      </c>
      <c r="H47">
        <v>80000</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13553-A3BE-47B9-B918-F249D0A38478}">
  <sheetPr codeName="Sheet9"/>
  <dimension ref="A1:L11"/>
  <sheetViews>
    <sheetView workbookViewId="0">
      <selection activeCell="C11" sqref="C11"/>
    </sheetView>
  </sheetViews>
  <sheetFormatPr defaultRowHeight="15" x14ac:dyDescent="0.25"/>
  <cols>
    <col min="1" max="1" width="16.28515625" customWidth="1"/>
    <col min="2" max="2" width="14.28515625" customWidth="1"/>
    <col min="3" max="3" width="15.28515625" bestFit="1" customWidth="1"/>
    <col min="4" max="4" width="22.140625" bestFit="1" customWidth="1"/>
  </cols>
  <sheetData>
    <row r="1" spans="1:12" x14ac:dyDescent="0.25">
      <c r="A1" s="3" t="s">
        <v>104</v>
      </c>
      <c r="B1">
        <f>COUNTA(Empdata[Employee ID])</f>
        <v>46</v>
      </c>
      <c r="L1" s="2" t="s">
        <v>99</v>
      </c>
    </row>
    <row r="2" spans="1:12" x14ac:dyDescent="0.25">
      <c r="L2" s="2" t="s">
        <v>100</v>
      </c>
    </row>
    <row r="3" spans="1:12" x14ac:dyDescent="0.25">
      <c r="A3" s="3" t="s">
        <v>105</v>
      </c>
      <c r="B3">
        <f>COUNTIF(Empdata[Employment Type],"Permanent")</f>
        <v>25</v>
      </c>
      <c r="L3" s="2" t="s">
        <v>101</v>
      </c>
    </row>
    <row r="4" spans="1:12" x14ac:dyDescent="0.25">
      <c r="L4" s="2" t="s">
        <v>102</v>
      </c>
    </row>
    <row r="5" spans="1:12" ht="30" x14ac:dyDescent="0.25">
      <c r="A5" s="3" t="s">
        <v>4</v>
      </c>
      <c r="B5" s="4" t="s">
        <v>106</v>
      </c>
      <c r="L5" s="2" t="s">
        <v>103</v>
      </c>
    </row>
    <row r="6" spans="1:12" x14ac:dyDescent="0.25">
      <c r="A6" t="s">
        <v>12</v>
      </c>
      <c r="B6">
        <f>COUNTIFS(Empdata[Department],A6)</f>
        <v>11</v>
      </c>
    </row>
    <row r="7" spans="1:12" x14ac:dyDescent="0.25">
      <c r="A7" t="s">
        <v>18</v>
      </c>
      <c r="B7">
        <f>COUNTIFS(Empdata[Department],A7)</f>
        <v>12</v>
      </c>
    </row>
    <row r="8" spans="1:12" x14ac:dyDescent="0.25">
      <c r="A8" t="s">
        <v>22</v>
      </c>
      <c r="B8">
        <f>COUNTIFS(Empdata[Department],A8)</f>
        <v>9</v>
      </c>
    </row>
    <row r="9" spans="1:12" x14ac:dyDescent="0.25">
      <c r="A9" t="s">
        <v>31</v>
      </c>
      <c r="B9">
        <f>COUNTIFS(Empdata[Department],A9)</f>
        <v>9</v>
      </c>
    </row>
    <row r="10" spans="1:12" x14ac:dyDescent="0.25">
      <c r="A10" s="3" t="s">
        <v>108</v>
      </c>
      <c r="B10">
        <f>MEDIAN(Empdata[Salary])</f>
        <v>53500</v>
      </c>
    </row>
    <row r="11" spans="1:12" x14ac:dyDescent="0.25">
      <c r="A11" s="3" t="s">
        <v>107</v>
      </c>
      <c r="B11" s="5">
        <f>COUNTIF(Empdata[Gender],"Female")/COUNTA(Empdata[Employee ID])</f>
        <v>0.47826086956521741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CFB401-E310-40EE-9AF2-8BA04C8B28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Sheet10</vt:lpstr>
      <vt:lpstr>Sheet4</vt:lpstr>
      <vt:lpstr>Sheet6</vt:lpstr>
      <vt:lpstr>Sheet7</vt:lpstr>
      <vt:lpstr>Sheet8</vt:lpstr>
      <vt:lpstr>MIS dashboard</vt:lpstr>
      <vt:lpstr>Sheet3</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2026-09-19T10:30:51Z</cp:lastPrinted>
  <dcterms:created xsi:type="dcterms:W3CDTF">2026-09-18T17:32:39Z</dcterms:created>
  <dcterms:modified xsi:type="dcterms:W3CDTF">2026-09-19T15:47:14Z</dcterms:modified>
</cp:coreProperties>
</file>